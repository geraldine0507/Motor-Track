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M:\WPS\Bodega\VLARA\MWSnap\VLar\Especialización\4. Gestión de Inventarios\Módulo 1 - Introducción a V-Logistic\Actividad 2 Costos en MotoTrak y Clasificación ABC-XYZ\"/>
    </mc:Choice>
  </mc:AlternateContent>
  <xr:revisionPtr revIDLastSave="0" documentId="14_{4716D142-2CA2-4674-8898-BC473527D463}" xr6:coauthVersionLast="47" xr6:coauthVersionMax="47" xr10:uidLastSave="{00000000-0000-0000-0000-000000000000}"/>
  <bookViews>
    <workbookView xWindow="-108" yWindow="-108" windowWidth="23256" windowHeight="13896" firstSheet="3" activeTab="9" xr2:uid="{00000000-000D-0000-FFFF-FFFF00000000}"/>
  </bookViews>
  <sheets>
    <sheet name="Summary" sheetId="1" r:id="rId1"/>
    <sheet name="Transactions" sheetId="2" r:id="rId2"/>
    <sheet name="Products &amp; Materials" sheetId="3" r:id="rId3"/>
    <sheet name="Demand" sheetId="4" r:id="rId4"/>
    <sheet name="Transportation" sheetId="5" r:id="rId5"/>
    <sheet name="Production" sheetId="6" r:id="rId6"/>
    <sheet name="Storage" sheetId="7" r:id="rId7"/>
    <sheet name="Costos" sheetId="8" r:id="rId8"/>
    <sheet name="Costo materia prima" sheetId="9" r:id="rId9"/>
    <sheet name="Costos y Precio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0" l="1"/>
  <c r="E4" i="10"/>
  <c r="E2" i="10"/>
  <c r="D3" i="10"/>
  <c r="D4" i="10"/>
  <c r="D2" i="10"/>
  <c r="C3" i="10"/>
  <c r="C4" i="10"/>
  <c r="C2" i="10"/>
  <c r="B4" i="10"/>
  <c r="B3" i="10"/>
  <c r="B2" i="10"/>
  <c r="F14" i="8"/>
  <c r="F21" i="8"/>
  <c r="F13" i="8"/>
  <c r="F12" i="8"/>
  <c r="F28" i="8"/>
  <c r="F29" i="8"/>
  <c r="F27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69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36" i="8"/>
  <c r="M97" i="8"/>
  <c r="N97" i="8" s="1"/>
  <c r="M96" i="8"/>
  <c r="M95" i="8"/>
  <c r="M94" i="8"/>
  <c r="M93" i="8"/>
  <c r="M92" i="8"/>
  <c r="N92" i="8"/>
  <c r="M91" i="8"/>
  <c r="M90" i="8"/>
  <c r="N90" i="8" s="1"/>
  <c r="M89" i="8"/>
  <c r="M88" i="8"/>
  <c r="M87" i="8"/>
  <c r="M86" i="8"/>
  <c r="M85" i="8"/>
  <c r="M84" i="8"/>
  <c r="M83" i="8"/>
  <c r="M82" i="8"/>
  <c r="M81" i="8"/>
  <c r="N81" i="8"/>
  <c r="M80" i="8"/>
  <c r="M79" i="8"/>
  <c r="M78" i="8"/>
  <c r="N78" i="8" s="1"/>
  <c r="M77" i="8"/>
  <c r="N77" i="8" s="1"/>
  <c r="M76" i="8"/>
  <c r="M75" i="8"/>
  <c r="M74" i="8"/>
  <c r="M73" i="8"/>
  <c r="M72" i="8"/>
  <c r="N72" i="8"/>
  <c r="M71" i="8"/>
  <c r="N71" i="8" s="1"/>
  <c r="M70" i="8"/>
  <c r="N70" i="8" s="1"/>
  <c r="M69" i="8"/>
  <c r="N69" i="8" s="1"/>
  <c r="M64" i="8"/>
  <c r="M63" i="8"/>
  <c r="M62" i="8"/>
  <c r="M61" i="8"/>
  <c r="M60" i="8"/>
  <c r="M59" i="8"/>
  <c r="M58" i="8"/>
  <c r="M57" i="8"/>
  <c r="M56" i="8"/>
  <c r="M55" i="8"/>
  <c r="M54" i="8"/>
  <c r="N54" i="8" s="1"/>
  <c r="M53" i="8"/>
  <c r="M52" i="8"/>
  <c r="N52" i="8" s="1"/>
  <c r="M51" i="8"/>
  <c r="N51" i="8" s="1"/>
  <c r="M50" i="8"/>
  <c r="M49" i="8"/>
  <c r="M48" i="8"/>
  <c r="M47" i="8"/>
  <c r="N47" i="8" s="1"/>
  <c r="M46" i="8"/>
  <c r="M45" i="8"/>
  <c r="M44" i="8"/>
  <c r="M43" i="8"/>
  <c r="M42" i="8"/>
  <c r="M41" i="8"/>
  <c r="M40" i="8"/>
  <c r="N40" i="8"/>
  <c r="M39" i="8"/>
  <c r="N39" i="8" s="1"/>
  <c r="M38" i="8"/>
  <c r="N38" i="8" s="1"/>
  <c r="M37" i="8"/>
  <c r="N37" i="8" s="1"/>
  <c r="M36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" i="8"/>
  <c r="M4" i="8"/>
  <c r="M5" i="8"/>
  <c r="N5" i="8" s="1"/>
  <c r="M6" i="8"/>
  <c r="N6" i="8" s="1"/>
  <c r="M7" i="8"/>
  <c r="M8" i="8"/>
  <c r="N8" i="8" s="1"/>
  <c r="M9" i="8"/>
  <c r="M10" i="8"/>
  <c r="N10" i="8" s="1"/>
  <c r="M11" i="8"/>
  <c r="N11" i="8" s="1"/>
  <c r="M12" i="8"/>
  <c r="M13" i="8"/>
  <c r="N13" i="8" s="1"/>
  <c r="M14" i="8"/>
  <c r="N14" i="8" s="1"/>
  <c r="M15" i="8"/>
  <c r="N15" i="8" s="1"/>
  <c r="M16" i="8"/>
  <c r="N16" i="8" s="1"/>
  <c r="M17" i="8"/>
  <c r="M18" i="8"/>
  <c r="M19" i="8"/>
  <c r="N19" i="8" s="1"/>
  <c r="M20" i="8"/>
  <c r="M21" i="8"/>
  <c r="M22" i="8"/>
  <c r="N22" i="8" s="1"/>
  <c r="M23" i="8"/>
  <c r="M24" i="8"/>
  <c r="N24" i="8" s="1"/>
  <c r="M25" i="8"/>
  <c r="N25" i="8" s="1"/>
  <c r="M26" i="8"/>
  <c r="M27" i="8"/>
  <c r="N27" i="8" s="1"/>
  <c r="M28" i="8"/>
  <c r="N28" i="8" s="1"/>
  <c r="M29" i="8"/>
  <c r="M30" i="8"/>
  <c r="N30" i="8" s="1"/>
  <c r="M31" i="8"/>
  <c r="M3" i="8"/>
  <c r="D20" i="8"/>
  <c r="F20" i="8" s="1"/>
  <c r="D19" i="8"/>
  <c r="F19" i="8" s="1"/>
  <c r="D18" i="8"/>
  <c r="F18" i="8" s="1"/>
  <c r="D17" i="8"/>
  <c r="D13" i="8"/>
  <c r="D12" i="8"/>
  <c r="D11" i="8"/>
  <c r="D10" i="8"/>
  <c r="F17" i="8"/>
  <c r="F11" i="8"/>
  <c r="F10" i="8"/>
  <c r="D6" i="8"/>
  <c r="F6" i="8" s="1"/>
  <c r="D5" i="8"/>
  <c r="F5" i="8" s="1"/>
  <c r="D4" i="8"/>
  <c r="F4" i="8" s="1"/>
  <c r="D3" i="8"/>
  <c r="F3" i="8" s="1"/>
  <c r="D28" i="8" l="1"/>
  <c r="N75" i="8"/>
  <c r="N88" i="8"/>
  <c r="N74" i="8"/>
  <c r="N87" i="8"/>
  <c r="N85" i="8"/>
  <c r="N58" i="8"/>
  <c r="N41" i="8"/>
  <c r="N55" i="8"/>
  <c r="N42" i="8"/>
  <c r="N56" i="8"/>
  <c r="N73" i="8"/>
  <c r="N57" i="8"/>
  <c r="N45" i="8"/>
  <c r="N59" i="8"/>
  <c r="N60" i="8"/>
  <c r="N4" i="8"/>
  <c r="N76" i="8"/>
  <c r="N89" i="8"/>
  <c r="N20" i="8"/>
  <c r="N18" i="8"/>
  <c r="N53" i="8"/>
  <c r="N86" i="8"/>
  <c r="N84" i="8"/>
  <c r="N23" i="8"/>
  <c r="N9" i="8"/>
  <c r="N36" i="8"/>
  <c r="N64" i="8"/>
  <c r="N50" i="8"/>
  <c r="N63" i="8"/>
  <c r="N96" i="8"/>
  <c r="N26" i="8"/>
  <c r="N12" i="8"/>
  <c r="N21" i="8"/>
  <c r="N7" i="8"/>
  <c r="N49" i="8"/>
  <c r="N83" i="8"/>
  <c r="N82" i="8"/>
  <c r="N95" i="8"/>
  <c r="N3" i="8"/>
  <c r="N46" i="8"/>
  <c r="N94" i="8"/>
  <c r="N80" i="8"/>
  <c r="N31" i="8"/>
  <c r="N17" i="8"/>
  <c r="N93" i="8"/>
  <c r="N79" i="8"/>
  <c r="N44" i="8"/>
  <c r="N29" i="8"/>
  <c r="N43" i="8"/>
  <c r="N91" i="8"/>
  <c r="N61" i="8"/>
  <c r="N62" i="8"/>
  <c r="N48" i="8"/>
  <c r="D29" i="8"/>
  <c r="F7" i="8"/>
  <c r="D27" i="8" s="1"/>
  <c r="N66" i="8" l="1"/>
  <c r="C28" i="8" s="1"/>
  <c r="E28" i="8" s="1"/>
  <c r="N99" i="8"/>
  <c r="C29" i="8" s="1"/>
  <c r="E29" i="8" s="1"/>
  <c r="N33" i="8"/>
  <c r="C27" i="8" s="1"/>
  <c r="E27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 Lara</author>
  </authors>
  <commentList>
    <comment ref="C26" authorId="0" shapeId="0" xr:uid="{C79A26F0-60A6-408B-8602-FE3C3B22A3E0}">
      <text>
        <r>
          <rPr>
            <b/>
            <sz val="9"/>
            <color indexed="81"/>
            <rFont val="Tahoma"/>
            <family val="2"/>
          </rPr>
          <t>Victor Lara:</t>
        </r>
        <r>
          <rPr>
            <sz val="9"/>
            <color indexed="81"/>
            <rFont val="Tahoma"/>
            <family val="2"/>
          </rPr>
          <t xml:space="preserve">
Material Directo</t>
        </r>
      </text>
    </comment>
    <comment ref="D26" authorId="0" shapeId="0" xr:uid="{5FED6616-03B5-4EF1-9095-90D3837BAD98}">
      <text>
        <r>
          <rPr>
            <b/>
            <sz val="9"/>
            <color indexed="81"/>
            <rFont val="Tahoma"/>
            <family val="2"/>
          </rPr>
          <t>Victor Lara:</t>
        </r>
        <r>
          <rPr>
            <sz val="9"/>
            <color indexed="81"/>
            <rFont val="Tahoma"/>
            <family val="2"/>
          </rPr>
          <t xml:space="preserve">
Mano de Obra Directa</t>
        </r>
      </text>
    </comment>
    <comment ref="E26" authorId="0" shapeId="0" xr:uid="{44EEEEAE-41F0-4469-8241-F8FA9DE837CA}">
      <text>
        <r>
          <rPr>
            <b/>
            <sz val="9"/>
            <color indexed="81"/>
            <rFont val="Tahoma"/>
            <charset val="1"/>
          </rPr>
          <t>Victor Lara:</t>
        </r>
        <r>
          <rPr>
            <sz val="9"/>
            <color indexed="81"/>
            <rFont val="Tahoma"/>
            <charset val="1"/>
          </rPr>
          <t xml:space="preserve">
Costo unitario de fabricación</t>
        </r>
      </text>
    </comment>
  </commentList>
</comments>
</file>

<file path=xl/sharedStrings.xml><?xml version="1.0" encoding="utf-8"?>
<sst xmlns="http://schemas.openxmlformats.org/spreadsheetml/2006/main" count="1150" uniqueCount="142">
  <si>
    <t>Name</t>
  </si>
  <si>
    <t>Moto Track</t>
  </si>
  <si>
    <t>Current Period</t>
  </si>
  <si>
    <t>Final Period</t>
  </si>
  <si>
    <t>Periods per Year</t>
  </si>
  <si>
    <t>Playable Periods</t>
  </si>
  <si>
    <t>Initial Balance</t>
  </si>
  <si>
    <t>$700,000,000.00</t>
  </si>
  <si>
    <t>Interest Rate</t>
  </si>
  <si>
    <t>12%</t>
  </si>
  <si>
    <t>Depreciation Cost</t>
  </si>
  <si>
    <t>$2,000,000.00</t>
  </si>
  <si>
    <t>Bank Balance</t>
  </si>
  <si>
    <t>$4,591,776,115.05</t>
  </si>
  <si>
    <t>Period</t>
  </si>
  <si>
    <t>Inbound</t>
  </si>
  <si>
    <t>Concept</t>
  </si>
  <si>
    <t>Entity</t>
  </si>
  <si>
    <t>Outbound</t>
  </si>
  <si>
    <t>Game initial bank balance set</t>
  </si>
  <si>
    <t/>
  </si>
  <si>
    <t>Interest rate</t>
  </si>
  <si>
    <t>Sale orders of Store</t>
  </si>
  <si>
    <t>🏪 MotoTrack Norte</t>
  </si>
  <si>
    <t>🏪 MotoTrack Centro</t>
  </si>
  <si>
    <t>🏪 MotoTrack Sur</t>
  </si>
  <si>
    <t>Depreciation of machines from Factory</t>
  </si>
  <si>
    <t>🏭 MotoTrack</t>
  </si>
  <si>
    <t>Storage orders of Factory</t>
  </si>
  <si>
    <t>Production orders of Factory</t>
  </si>
  <si>
    <t>Transportation orders of Factory</t>
  </si>
  <si>
    <t>Transportation orders of Raw material supplier</t>
  </si>
  <si>
    <t>🚜 Proveedor Azul</t>
  </si>
  <si>
    <t>Supply orders of Raw material supplier</t>
  </si>
  <si>
    <t>🚜 Proveedor Amarillo</t>
  </si>
  <si>
    <t>🚜 Proveedor Negro</t>
  </si>
  <si>
    <t>Storage orders of Distribution center</t>
  </si>
  <si>
    <t>🚚 Cedi MotoTrack</t>
  </si>
  <si>
    <t>Transportation orders of Distribution center</t>
  </si>
  <si>
    <t>Storage orders of Store</t>
  </si>
  <si>
    <t>Products</t>
  </si>
  <si>
    <t>Width</t>
  </si>
  <si>
    <t>Depth</t>
  </si>
  <si>
    <t>Height</t>
  </si>
  <si>
    <t>Weight</t>
  </si>
  <si>
    <t>MOTO</t>
  </si>
  <si>
    <t>CUATRIMOTO</t>
  </si>
  <si>
    <t>TRACTOR</t>
  </si>
  <si>
    <t>Raw Materials</t>
  </si>
  <si>
    <t>CUARTO LADRILLO AZUL</t>
  </si>
  <si>
    <t>MEDIO LADRILLO AZUL</t>
  </si>
  <si>
    <t>LADRILLO COMPLETO AZUL</t>
  </si>
  <si>
    <t>LADRILLO TRIANGULAR AZUL</t>
  </si>
  <si>
    <t>DINTEL SIMPLE AMARILLO</t>
  </si>
  <si>
    <t>DINTEL DOBLE AMARILLO</t>
  </si>
  <si>
    <t>DINTEL TRIPLE AMARILLO</t>
  </si>
  <si>
    <t>BLOQUE REDONDO SENCILLO AMARILLO</t>
  </si>
  <si>
    <t>MEDIO BLOQUE REDONDO AMARILLO</t>
  </si>
  <si>
    <t>BLOQUE REDONDO MACHO-MACHO AMARILLO</t>
  </si>
  <si>
    <t>BLOQUE REDONDO HEMBRA-HEMBRA AMARILLO</t>
  </si>
  <si>
    <t>CARRETE DE ESPIGAS AMARILLO</t>
  </si>
  <si>
    <t>PIÑON GRANDE AMARILLO</t>
  </si>
  <si>
    <t>PIÑON PEQUEÑO AMARILLO</t>
  </si>
  <si>
    <t>PIÑON CONICO AMARILLO</t>
  </si>
  <si>
    <t>VIGA SIMPLE GRIS</t>
  </si>
  <si>
    <t>VIGA DOBLE GRIS</t>
  </si>
  <si>
    <t>VIGA TRIPLE GRIS</t>
  </si>
  <si>
    <t>BLOQUE DE EJES NEGRO</t>
  </si>
  <si>
    <t>CILINDRO NEGRO</t>
  </si>
  <si>
    <t>COLUMNA NEGRA</t>
  </si>
  <si>
    <t>ESLABÓN DE ORUGA NEGRO</t>
  </si>
  <si>
    <t>PIN TRIPLE AZUL</t>
  </si>
  <si>
    <t>PIN DOBLE AZUL</t>
  </si>
  <si>
    <t>PIN SIMPLE AZUL</t>
  </si>
  <si>
    <t>TOPE DE EJE AMARILLO</t>
  </si>
  <si>
    <t>EJE HEXAGONAL 3.5 CM</t>
  </si>
  <si>
    <t>EJE HEXAGONAL 6.5 CM</t>
  </si>
  <si>
    <t>EJE HEXAGONAL 10 CM</t>
  </si>
  <si>
    <t>Product - Raw Material Relationship</t>
  </si>
  <si>
    <t>Product \ Raw Material</t>
  </si>
  <si>
    <t>Product - Subproduct Relationship</t>
  </si>
  <si>
    <t>Parent \ Subproduct</t>
  </si>
  <si>
    <t>Turn</t>
  </si>
  <si>
    <t>Origin</t>
  </si>
  <si>
    <t>Destiny</t>
  </si>
  <si>
    <t>Transportation Mean</t>
  </si>
  <si>
    <t>Fixed Price Per Turn</t>
  </si>
  <si>
    <t>Capacity u3</t>
  </si>
  <si>
    <t>Quantity</t>
  </si>
  <si>
    <t>Turns To Destination</t>
  </si>
  <si>
    <t>truck</t>
  </si>
  <si>
    <t>1000000</t>
  </si>
  <si>
    <t>2000000</t>
  </si>
  <si>
    <t>ship</t>
  </si>
  <si>
    <t>8000000</t>
  </si>
  <si>
    <t>plane</t>
  </si>
  <si>
    <t>1200000</t>
  </si>
  <si>
    <t>2500000</t>
  </si>
  <si>
    <t>Armar Base</t>
  </si>
  <si>
    <t>Armar Chasís</t>
  </si>
  <si>
    <t>Rueda - Oruga</t>
  </si>
  <si>
    <t>Asiento - Volante</t>
  </si>
  <si>
    <t>Availability</t>
  </si>
  <si>
    <t>Type</t>
  </si>
  <si>
    <t>Internal Available Storage</t>
  </si>
  <si>
    <t>Internal Fixed Cost</t>
  </si>
  <si>
    <t>Internal Variable Cost</t>
  </si>
  <si>
    <t>External Fixed Cost</t>
  </si>
  <si>
    <t>External Cost per u3</t>
  </si>
  <si>
    <t>Factory</t>
  </si>
  <si>
    <t>Store</t>
  </si>
  <si>
    <t>Distribution Center</t>
  </si>
  <si>
    <t>Producto</t>
  </si>
  <si>
    <t>Proceso</t>
  </si>
  <si>
    <t>Minutos/unidad</t>
  </si>
  <si>
    <t>Costo/minuto</t>
  </si>
  <si>
    <t>MOD por proceso</t>
  </si>
  <si>
    <t>Moto</t>
  </si>
  <si>
    <t>Ruedas-Oruga</t>
  </si>
  <si>
    <t>Asiento-Volante</t>
  </si>
  <si>
    <t>MOD Moto</t>
  </si>
  <si>
    <t>MD</t>
  </si>
  <si>
    <t>MOD</t>
  </si>
  <si>
    <t>Costo unitario MD + MOD</t>
  </si>
  <si>
    <t>Precio venta</t>
  </si>
  <si>
    <t>Cuatrimoto</t>
  </si>
  <si>
    <t>Tractor</t>
  </si>
  <si>
    <t>MOD Cuatrimoto</t>
  </si>
  <si>
    <t>MOD Tractor</t>
  </si>
  <si>
    <t>ID</t>
  </si>
  <si>
    <t>Proveedor</t>
  </si>
  <si>
    <t>Materia prima</t>
  </si>
  <si>
    <t>Precio unitario</t>
  </si>
  <si>
    <t>Azul</t>
  </si>
  <si>
    <t>Amarillo</t>
  </si>
  <si>
    <t>Negro</t>
  </si>
  <si>
    <t>Cantidad requerida</t>
  </si>
  <si>
    <t>Costo material</t>
  </si>
  <si>
    <t>MD Moto</t>
  </si>
  <si>
    <t>MD Cuatrimoto</t>
  </si>
  <si>
    <t>MD Tractor</t>
  </si>
  <si>
    <t>Costo unitario fabricación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</si>
</sst>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\ #,##0;[Red]\-&quot;$&quot;\ #,##0"/>
    <numFmt numFmtId="44" formatCode="_-&quot;$&quot;\ * #,##0.00_-;\-&quot;$&quot;\ * #,##0.00_-;_-&quot;$&quot;\ * &quot;-&quot;??_-;_-@_-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6" fontId="0" fillId="0" borderId="1" xfId="0" applyNumberFormat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6" fontId="2" fillId="0" borderId="1" xfId="0" applyNumberFormat="1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4" fontId="0" fillId="0" borderId="1" xfId="1" applyFont="1" applyBorder="1" applyAlignment="1">
      <alignment horizontal="right" vertical="center" wrapText="1"/>
    </xf>
    <xf numFmtId="44" fontId="0" fillId="0" borderId="1" xfId="0" applyNumberFormat="1" applyBorder="1" applyAlignment="1">
      <alignment horizontal="right" vertical="center" wrapText="1"/>
    </xf>
    <xf numFmtId="44" fontId="2" fillId="0" borderId="0" xfId="1" applyFont="1" applyAlignment="1">
      <alignment horizontal="right" vertical="center" wrapText="1"/>
    </xf>
    <xf numFmtId="44" fontId="0" fillId="0" borderId="0" xfId="1" applyFont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6" fontId="0" fillId="0" borderId="1" xfId="1" applyNumberFormat="1" applyFont="1" applyBorder="1" applyAlignment="1">
      <alignment horizontal="right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I30" sqref="I30"/>
    </sheetView>
  </sheetViews>
  <sheetFormatPr defaultColWidth="11.19921875" defaultRowHeight="15.6" x14ac:dyDescent="0.3"/>
  <cols>
    <col min="1" max="1" width="15.398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7</v>
      </c>
    </row>
    <row r="3" spans="1:2" x14ac:dyDescent="0.3">
      <c r="A3" t="s">
        <v>3</v>
      </c>
      <c r="B3">
        <v>18</v>
      </c>
    </row>
    <row r="4" spans="1:2" x14ac:dyDescent="0.3">
      <c r="A4" t="s">
        <v>4</v>
      </c>
      <c r="B4">
        <v>52</v>
      </c>
    </row>
    <row r="5" spans="1:2" x14ac:dyDescent="0.3">
      <c r="A5" t="s">
        <v>5</v>
      </c>
      <c r="B5">
        <v>18</v>
      </c>
    </row>
    <row r="6" spans="1:2" x14ac:dyDescent="0.3">
      <c r="A6" t="s">
        <v>6</v>
      </c>
      <c r="B6" t="s">
        <v>7</v>
      </c>
    </row>
    <row r="7" spans="1:2" x14ac:dyDescent="0.3">
      <c r="A7" t="s">
        <v>8</v>
      </c>
      <c r="B7" t="s">
        <v>9</v>
      </c>
    </row>
    <row r="8" spans="1:2" x14ac:dyDescent="0.3">
      <c r="A8" t="s">
        <v>10</v>
      </c>
      <c r="B8" t="s">
        <v>11</v>
      </c>
    </row>
    <row r="9" spans="1:2" x14ac:dyDescent="0.3">
      <c r="A9" t="s">
        <v>12</v>
      </c>
      <c r="B9" t="s">
        <v>13</v>
      </c>
    </row>
  </sheetData>
  <pageMargins left="0.7" right="0.7" top="0.75" bottom="0.75" header="0.3" footer="0.3"/>
  <ignoredErrors>
    <ignoredError sqref="A1:B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6"/>
  <sheetViews>
    <sheetView topLeftCell="A91" workbookViewId="0"/>
  </sheetViews>
  <sheetFormatPr defaultColWidth="11.19921875" defaultRowHeight="15.6" x14ac:dyDescent="0.3"/>
  <cols>
    <col min="3" max="3" width="20" customWidth="1"/>
    <col min="4" max="4" width="19.5" bestFit="1" customWidth="1"/>
    <col min="7" max="7" width="41.09765625" bestFit="1" customWidth="1"/>
  </cols>
  <sheetData>
    <row r="1" spans="1:8" x14ac:dyDescent="0.3">
      <c r="A1" t="s">
        <v>14</v>
      </c>
      <c r="B1" t="s">
        <v>15</v>
      </c>
      <c r="C1" t="s">
        <v>16</v>
      </c>
      <c r="D1" t="s">
        <v>17</v>
      </c>
      <c r="E1" t="s">
        <v>14</v>
      </c>
      <c r="F1" t="s">
        <v>18</v>
      </c>
      <c r="G1" t="s">
        <v>16</v>
      </c>
      <c r="H1" t="s">
        <v>17</v>
      </c>
    </row>
    <row r="2" spans="1:8" x14ac:dyDescent="0.3">
      <c r="A2">
        <v>0</v>
      </c>
      <c r="B2">
        <v>700000000</v>
      </c>
      <c r="C2" t="s">
        <v>19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</row>
    <row r="3" spans="1:8" x14ac:dyDescent="0.3">
      <c r="A3">
        <v>1</v>
      </c>
      <c r="B3">
        <v>1615384.62</v>
      </c>
      <c r="C3" t="s">
        <v>21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</row>
    <row r="4" spans="1:8" x14ac:dyDescent="0.3">
      <c r="A4">
        <v>1</v>
      </c>
      <c r="B4">
        <v>250000000</v>
      </c>
      <c r="C4" t="s">
        <v>22</v>
      </c>
      <c r="D4" t="s">
        <v>23</v>
      </c>
      <c r="E4" t="s">
        <v>20</v>
      </c>
      <c r="F4" t="s">
        <v>20</v>
      </c>
      <c r="G4" t="s">
        <v>20</v>
      </c>
      <c r="H4" t="s">
        <v>20</v>
      </c>
    </row>
    <row r="5" spans="1:8" x14ac:dyDescent="0.3">
      <c r="A5">
        <v>1</v>
      </c>
      <c r="B5">
        <v>422000000</v>
      </c>
      <c r="C5" t="s">
        <v>22</v>
      </c>
      <c r="D5" t="s">
        <v>24</v>
      </c>
      <c r="E5" t="s">
        <v>20</v>
      </c>
      <c r="F5" t="s">
        <v>20</v>
      </c>
      <c r="G5" t="s">
        <v>20</v>
      </c>
      <c r="H5" t="s">
        <v>20</v>
      </c>
    </row>
    <row r="6" spans="1:8" x14ac:dyDescent="0.3">
      <c r="A6">
        <v>1</v>
      </c>
      <c r="B6">
        <v>223000000</v>
      </c>
      <c r="C6" t="s">
        <v>22</v>
      </c>
      <c r="D6" t="s">
        <v>25</v>
      </c>
      <c r="E6" t="s">
        <v>20</v>
      </c>
      <c r="F6" t="s">
        <v>20</v>
      </c>
      <c r="G6" t="s">
        <v>20</v>
      </c>
      <c r="H6" t="s">
        <v>20</v>
      </c>
    </row>
    <row r="7" spans="1:8" x14ac:dyDescent="0.3">
      <c r="A7" t="s">
        <v>20</v>
      </c>
      <c r="B7" t="s">
        <v>20</v>
      </c>
      <c r="C7" t="s">
        <v>20</v>
      </c>
      <c r="D7" t="s">
        <v>20</v>
      </c>
      <c r="E7">
        <v>1</v>
      </c>
      <c r="F7">
        <v>0</v>
      </c>
      <c r="G7" t="s">
        <v>26</v>
      </c>
      <c r="H7" t="s">
        <v>27</v>
      </c>
    </row>
    <row r="8" spans="1:8" x14ac:dyDescent="0.3">
      <c r="A8" t="s">
        <v>20</v>
      </c>
      <c r="B8" t="s">
        <v>20</v>
      </c>
      <c r="C8" t="s">
        <v>20</v>
      </c>
      <c r="D8" t="s">
        <v>20</v>
      </c>
      <c r="E8">
        <v>1</v>
      </c>
      <c r="F8">
        <v>3368169.18</v>
      </c>
      <c r="G8" t="s">
        <v>28</v>
      </c>
      <c r="H8" t="s">
        <v>27</v>
      </c>
    </row>
    <row r="9" spans="1:8" x14ac:dyDescent="0.3">
      <c r="A9" t="s">
        <v>20</v>
      </c>
      <c r="B9" t="s">
        <v>20</v>
      </c>
      <c r="C9" t="s">
        <v>20</v>
      </c>
      <c r="D9" t="s">
        <v>20</v>
      </c>
      <c r="E9">
        <v>1</v>
      </c>
      <c r="F9">
        <v>169630000</v>
      </c>
      <c r="G9" t="s">
        <v>29</v>
      </c>
      <c r="H9" t="s">
        <v>27</v>
      </c>
    </row>
    <row r="10" spans="1:8" x14ac:dyDescent="0.3">
      <c r="A10" t="s">
        <v>20</v>
      </c>
      <c r="B10" t="s">
        <v>20</v>
      </c>
      <c r="C10" t="s">
        <v>20</v>
      </c>
      <c r="D10" t="s">
        <v>20</v>
      </c>
      <c r="E10">
        <v>1</v>
      </c>
      <c r="F10">
        <v>2000000</v>
      </c>
      <c r="G10" t="s">
        <v>30</v>
      </c>
      <c r="H10" t="s">
        <v>27</v>
      </c>
    </row>
    <row r="11" spans="1:8" x14ac:dyDescent="0.3">
      <c r="A11" t="s">
        <v>20</v>
      </c>
      <c r="B11" t="s">
        <v>20</v>
      </c>
      <c r="C11" t="s">
        <v>20</v>
      </c>
      <c r="D11" t="s">
        <v>20</v>
      </c>
      <c r="E11">
        <v>1</v>
      </c>
      <c r="F11">
        <v>0</v>
      </c>
      <c r="G11" t="s">
        <v>31</v>
      </c>
      <c r="H11" t="s">
        <v>32</v>
      </c>
    </row>
    <row r="12" spans="1:8" x14ac:dyDescent="0.3">
      <c r="A12" t="s">
        <v>20</v>
      </c>
      <c r="B12" t="s">
        <v>20</v>
      </c>
      <c r="C12" t="s">
        <v>20</v>
      </c>
      <c r="D12" t="s">
        <v>20</v>
      </c>
      <c r="E12">
        <v>1</v>
      </c>
      <c r="F12">
        <v>0</v>
      </c>
      <c r="G12" t="s">
        <v>33</v>
      </c>
      <c r="H12" t="s">
        <v>32</v>
      </c>
    </row>
    <row r="13" spans="1:8" x14ac:dyDescent="0.3">
      <c r="A13" t="s">
        <v>20</v>
      </c>
      <c r="B13" t="s">
        <v>20</v>
      </c>
      <c r="C13" t="s">
        <v>20</v>
      </c>
      <c r="D13" t="s">
        <v>20</v>
      </c>
      <c r="E13">
        <v>1</v>
      </c>
      <c r="F13">
        <v>2000000</v>
      </c>
      <c r="G13" t="s">
        <v>31</v>
      </c>
      <c r="H13" t="s">
        <v>34</v>
      </c>
    </row>
    <row r="14" spans="1:8" x14ac:dyDescent="0.3">
      <c r="A14" t="s">
        <v>20</v>
      </c>
      <c r="B14" t="s">
        <v>20</v>
      </c>
      <c r="C14" t="s">
        <v>20</v>
      </c>
      <c r="D14" t="s">
        <v>20</v>
      </c>
      <c r="E14">
        <v>1</v>
      </c>
      <c r="F14">
        <v>544000000</v>
      </c>
      <c r="G14" t="s">
        <v>33</v>
      </c>
      <c r="H14" t="s">
        <v>34</v>
      </c>
    </row>
    <row r="15" spans="1:8" x14ac:dyDescent="0.3">
      <c r="A15" t="s">
        <v>20</v>
      </c>
      <c r="B15" t="s">
        <v>20</v>
      </c>
      <c r="C15" t="s">
        <v>20</v>
      </c>
      <c r="D15" t="s">
        <v>20</v>
      </c>
      <c r="E15">
        <v>1</v>
      </c>
      <c r="F15">
        <v>0</v>
      </c>
      <c r="G15" t="s">
        <v>31</v>
      </c>
      <c r="H15" t="s">
        <v>35</v>
      </c>
    </row>
    <row r="16" spans="1:8" x14ac:dyDescent="0.3">
      <c r="A16" t="s">
        <v>20</v>
      </c>
      <c r="B16" t="s">
        <v>20</v>
      </c>
      <c r="C16" t="s">
        <v>20</v>
      </c>
      <c r="D16" t="s">
        <v>20</v>
      </c>
      <c r="E16">
        <v>1</v>
      </c>
      <c r="F16">
        <v>0</v>
      </c>
      <c r="G16" t="s">
        <v>33</v>
      </c>
      <c r="H16" t="s">
        <v>35</v>
      </c>
    </row>
    <row r="17" spans="1:8" x14ac:dyDescent="0.3">
      <c r="A17" t="s">
        <v>20</v>
      </c>
      <c r="B17" t="s">
        <v>20</v>
      </c>
      <c r="C17" t="s">
        <v>20</v>
      </c>
      <c r="D17" t="s">
        <v>20</v>
      </c>
      <c r="E17">
        <v>1</v>
      </c>
      <c r="F17">
        <v>2358420</v>
      </c>
      <c r="G17" t="s">
        <v>36</v>
      </c>
      <c r="H17" t="s">
        <v>37</v>
      </c>
    </row>
    <row r="18" spans="1:8" x14ac:dyDescent="0.3">
      <c r="A18" t="s">
        <v>20</v>
      </c>
      <c r="B18" t="s">
        <v>20</v>
      </c>
      <c r="C18" t="s">
        <v>20</v>
      </c>
      <c r="D18" t="s">
        <v>20</v>
      </c>
      <c r="E18">
        <v>1</v>
      </c>
      <c r="F18">
        <v>3000000</v>
      </c>
      <c r="G18" t="s">
        <v>38</v>
      </c>
      <c r="H18" t="s">
        <v>37</v>
      </c>
    </row>
    <row r="19" spans="1:8" x14ac:dyDescent="0.3">
      <c r="A19" t="s">
        <v>20</v>
      </c>
      <c r="B19" t="s">
        <v>20</v>
      </c>
      <c r="C19" t="s">
        <v>20</v>
      </c>
      <c r="D19" t="s">
        <v>20</v>
      </c>
      <c r="E19">
        <v>1</v>
      </c>
      <c r="F19">
        <v>1413836</v>
      </c>
      <c r="G19" t="s">
        <v>39</v>
      </c>
      <c r="H19" t="s">
        <v>23</v>
      </c>
    </row>
    <row r="20" spans="1:8" x14ac:dyDescent="0.3">
      <c r="A20" t="s">
        <v>20</v>
      </c>
      <c r="B20" t="s">
        <v>20</v>
      </c>
      <c r="C20" t="s">
        <v>20</v>
      </c>
      <c r="D20" t="s">
        <v>20</v>
      </c>
      <c r="E20">
        <v>1</v>
      </c>
      <c r="F20">
        <v>1608200</v>
      </c>
      <c r="G20" t="s">
        <v>39</v>
      </c>
      <c r="H20" t="s">
        <v>24</v>
      </c>
    </row>
    <row r="21" spans="1:8" x14ac:dyDescent="0.3">
      <c r="A21" t="s">
        <v>20</v>
      </c>
      <c r="B21" t="s">
        <v>20</v>
      </c>
      <c r="C21" t="s">
        <v>20</v>
      </c>
      <c r="D21" t="s">
        <v>20</v>
      </c>
      <c r="E21">
        <v>1</v>
      </c>
      <c r="F21">
        <v>559040</v>
      </c>
      <c r="G21" t="s">
        <v>39</v>
      </c>
      <c r="H21" t="s">
        <v>25</v>
      </c>
    </row>
    <row r="22" spans="1:8" x14ac:dyDescent="0.3">
      <c r="A22">
        <v>2</v>
      </c>
      <c r="B22">
        <v>2000025.51</v>
      </c>
      <c r="C22" t="s">
        <v>21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</row>
    <row r="23" spans="1:8" x14ac:dyDescent="0.3">
      <c r="A23">
        <v>2</v>
      </c>
      <c r="B23">
        <v>165000000</v>
      </c>
      <c r="C23" t="s">
        <v>22</v>
      </c>
      <c r="D23" t="s">
        <v>23</v>
      </c>
      <c r="E23" t="s">
        <v>20</v>
      </c>
      <c r="F23" t="s">
        <v>20</v>
      </c>
      <c r="G23" t="s">
        <v>20</v>
      </c>
      <c r="H23" t="s">
        <v>20</v>
      </c>
    </row>
    <row r="24" spans="1:8" x14ac:dyDescent="0.3">
      <c r="A24">
        <v>2</v>
      </c>
      <c r="B24">
        <v>459000000</v>
      </c>
      <c r="C24" t="s">
        <v>22</v>
      </c>
      <c r="D24" t="s">
        <v>24</v>
      </c>
      <c r="E24" t="s">
        <v>20</v>
      </c>
      <c r="F24" t="s">
        <v>20</v>
      </c>
      <c r="G24" t="s">
        <v>20</v>
      </c>
      <c r="H24" t="s">
        <v>20</v>
      </c>
    </row>
    <row r="25" spans="1:8" x14ac:dyDescent="0.3">
      <c r="A25">
        <v>2</v>
      </c>
      <c r="B25">
        <v>243000000</v>
      </c>
      <c r="C25" t="s">
        <v>22</v>
      </c>
      <c r="D25" t="s">
        <v>25</v>
      </c>
      <c r="E25" t="s">
        <v>20</v>
      </c>
      <c r="F25" t="s">
        <v>20</v>
      </c>
      <c r="G25" t="s">
        <v>20</v>
      </c>
      <c r="H25" t="s">
        <v>20</v>
      </c>
    </row>
    <row r="26" spans="1:8" x14ac:dyDescent="0.3">
      <c r="A26" t="s">
        <v>20</v>
      </c>
      <c r="B26" t="s">
        <v>20</v>
      </c>
      <c r="C26" t="s">
        <v>20</v>
      </c>
      <c r="D26" t="s">
        <v>20</v>
      </c>
      <c r="E26">
        <v>2</v>
      </c>
      <c r="F26">
        <v>0</v>
      </c>
      <c r="G26" t="s">
        <v>26</v>
      </c>
      <c r="H26" t="s">
        <v>27</v>
      </c>
    </row>
    <row r="27" spans="1:8" x14ac:dyDescent="0.3">
      <c r="A27" t="s">
        <v>20</v>
      </c>
      <c r="B27" t="s">
        <v>20</v>
      </c>
      <c r="C27" t="s">
        <v>20</v>
      </c>
      <c r="D27" t="s">
        <v>20</v>
      </c>
      <c r="E27">
        <v>2</v>
      </c>
      <c r="F27">
        <v>3477857.9</v>
      </c>
      <c r="G27" t="s">
        <v>28</v>
      </c>
      <c r="H27" t="s">
        <v>27</v>
      </c>
    </row>
    <row r="28" spans="1:8" x14ac:dyDescent="0.3">
      <c r="A28" t="s">
        <v>20</v>
      </c>
      <c r="B28" t="s">
        <v>20</v>
      </c>
      <c r="C28" t="s">
        <v>20</v>
      </c>
      <c r="D28" t="s">
        <v>20</v>
      </c>
      <c r="E28">
        <v>2</v>
      </c>
      <c r="F28">
        <v>167440000</v>
      </c>
      <c r="G28" t="s">
        <v>29</v>
      </c>
      <c r="H28" t="s">
        <v>27</v>
      </c>
    </row>
    <row r="29" spans="1:8" x14ac:dyDescent="0.3">
      <c r="A29" t="s">
        <v>20</v>
      </c>
      <c r="B29" t="s">
        <v>20</v>
      </c>
      <c r="C29" t="s">
        <v>20</v>
      </c>
      <c r="D29" t="s">
        <v>20</v>
      </c>
      <c r="E29">
        <v>2</v>
      </c>
      <c r="F29">
        <v>7000000</v>
      </c>
      <c r="G29" t="s">
        <v>30</v>
      </c>
      <c r="H29" t="s">
        <v>27</v>
      </c>
    </row>
    <row r="30" spans="1:8" x14ac:dyDescent="0.3">
      <c r="A30" t="s">
        <v>20</v>
      </c>
      <c r="B30" t="s">
        <v>20</v>
      </c>
      <c r="C30" t="s">
        <v>20</v>
      </c>
      <c r="D30" t="s">
        <v>20</v>
      </c>
      <c r="E30">
        <v>2</v>
      </c>
      <c r="F30">
        <v>1000000</v>
      </c>
      <c r="G30" t="s">
        <v>31</v>
      </c>
      <c r="H30" t="s">
        <v>32</v>
      </c>
    </row>
    <row r="31" spans="1:8" x14ac:dyDescent="0.3">
      <c r="A31" t="s">
        <v>20</v>
      </c>
      <c r="B31" t="s">
        <v>20</v>
      </c>
      <c r="C31" t="s">
        <v>20</v>
      </c>
      <c r="D31" t="s">
        <v>20</v>
      </c>
      <c r="E31">
        <v>2</v>
      </c>
      <c r="F31">
        <v>83500000</v>
      </c>
      <c r="G31" t="s">
        <v>33</v>
      </c>
      <c r="H31" t="s">
        <v>32</v>
      </c>
    </row>
    <row r="32" spans="1:8" x14ac:dyDescent="0.3">
      <c r="A32" t="s">
        <v>20</v>
      </c>
      <c r="B32" t="s">
        <v>20</v>
      </c>
      <c r="C32" t="s">
        <v>20</v>
      </c>
      <c r="D32" t="s">
        <v>20</v>
      </c>
      <c r="E32">
        <v>2</v>
      </c>
      <c r="F32">
        <v>0</v>
      </c>
      <c r="G32" t="s">
        <v>31</v>
      </c>
      <c r="H32" t="s">
        <v>34</v>
      </c>
    </row>
    <row r="33" spans="1:8" x14ac:dyDescent="0.3">
      <c r="A33" t="s">
        <v>20</v>
      </c>
      <c r="B33" t="s">
        <v>20</v>
      </c>
      <c r="C33" t="s">
        <v>20</v>
      </c>
      <c r="D33" t="s">
        <v>20</v>
      </c>
      <c r="E33">
        <v>2</v>
      </c>
      <c r="F33">
        <v>0</v>
      </c>
      <c r="G33" t="s">
        <v>33</v>
      </c>
      <c r="H33" t="s">
        <v>34</v>
      </c>
    </row>
    <row r="34" spans="1:8" x14ac:dyDescent="0.3">
      <c r="A34" t="s">
        <v>20</v>
      </c>
      <c r="B34" t="s">
        <v>20</v>
      </c>
      <c r="C34" t="s">
        <v>20</v>
      </c>
      <c r="D34" t="s">
        <v>20</v>
      </c>
      <c r="E34">
        <v>2</v>
      </c>
      <c r="F34">
        <v>0</v>
      </c>
      <c r="G34" t="s">
        <v>31</v>
      </c>
      <c r="H34" t="s">
        <v>35</v>
      </c>
    </row>
    <row r="35" spans="1:8" x14ac:dyDescent="0.3">
      <c r="A35" t="s">
        <v>20</v>
      </c>
      <c r="B35" t="s">
        <v>20</v>
      </c>
      <c r="C35" t="s">
        <v>20</v>
      </c>
      <c r="D35" t="s">
        <v>20</v>
      </c>
      <c r="E35">
        <v>2</v>
      </c>
      <c r="F35">
        <v>0</v>
      </c>
      <c r="G35" t="s">
        <v>33</v>
      </c>
      <c r="H35" t="s">
        <v>35</v>
      </c>
    </row>
    <row r="36" spans="1:8" x14ac:dyDescent="0.3">
      <c r="A36" t="s">
        <v>20</v>
      </c>
      <c r="B36" t="s">
        <v>20</v>
      </c>
      <c r="C36" t="s">
        <v>20</v>
      </c>
      <c r="D36" t="s">
        <v>20</v>
      </c>
      <c r="E36">
        <v>2</v>
      </c>
      <c r="F36">
        <v>2354472</v>
      </c>
      <c r="G36" t="s">
        <v>36</v>
      </c>
      <c r="H36" t="s">
        <v>37</v>
      </c>
    </row>
    <row r="37" spans="1:8" x14ac:dyDescent="0.3">
      <c r="A37" t="s">
        <v>20</v>
      </c>
      <c r="B37" t="s">
        <v>20</v>
      </c>
      <c r="C37" t="s">
        <v>20</v>
      </c>
      <c r="D37" t="s">
        <v>20</v>
      </c>
      <c r="E37">
        <v>2</v>
      </c>
      <c r="F37">
        <v>4000000</v>
      </c>
      <c r="G37" t="s">
        <v>38</v>
      </c>
      <c r="H37" t="s">
        <v>37</v>
      </c>
    </row>
    <row r="38" spans="1:8" x14ac:dyDescent="0.3">
      <c r="A38" t="s">
        <v>20</v>
      </c>
      <c r="B38" t="s">
        <v>20</v>
      </c>
      <c r="C38" t="s">
        <v>20</v>
      </c>
      <c r="D38" t="s">
        <v>20</v>
      </c>
      <c r="E38">
        <v>2</v>
      </c>
      <c r="F38">
        <v>885364</v>
      </c>
      <c r="G38" t="s">
        <v>39</v>
      </c>
      <c r="H38" t="s">
        <v>23</v>
      </c>
    </row>
    <row r="39" spans="1:8" x14ac:dyDescent="0.3">
      <c r="A39" t="s">
        <v>20</v>
      </c>
      <c r="B39" t="s">
        <v>20</v>
      </c>
      <c r="C39" t="s">
        <v>20</v>
      </c>
      <c r="D39" t="s">
        <v>20</v>
      </c>
      <c r="E39">
        <v>2</v>
      </c>
      <c r="F39">
        <v>1665020</v>
      </c>
      <c r="G39" t="s">
        <v>39</v>
      </c>
      <c r="H39" t="s">
        <v>24</v>
      </c>
    </row>
    <row r="40" spans="1:8" x14ac:dyDescent="0.3">
      <c r="A40" t="s">
        <v>20</v>
      </c>
      <c r="B40" t="s">
        <v>20</v>
      </c>
      <c r="C40" t="s">
        <v>20</v>
      </c>
      <c r="D40" t="s">
        <v>20</v>
      </c>
      <c r="E40">
        <v>2</v>
      </c>
      <c r="F40">
        <v>593536</v>
      </c>
      <c r="G40" t="s">
        <v>39</v>
      </c>
      <c r="H40" t="s">
        <v>25</v>
      </c>
    </row>
    <row r="41" spans="1:8" x14ac:dyDescent="0.3">
      <c r="A41">
        <v>3</v>
      </c>
      <c r="B41">
        <v>3377911.14</v>
      </c>
      <c r="C41" t="s">
        <v>21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</row>
    <row r="42" spans="1:8" x14ac:dyDescent="0.3">
      <c r="A42">
        <v>3</v>
      </c>
      <c r="B42">
        <v>288000000</v>
      </c>
      <c r="C42" t="s">
        <v>22</v>
      </c>
      <c r="D42" t="s">
        <v>23</v>
      </c>
      <c r="E42" t="s">
        <v>20</v>
      </c>
      <c r="F42" t="s">
        <v>20</v>
      </c>
      <c r="G42" t="s">
        <v>20</v>
      </c>
      <c r="H42" t="s">
        <v>20</v>
      </c>
    </row>
    <row r="43" spans="1:8" x14ac:dyDescent="0.3">
      <c r="A43">
        <v>3</v>
      </c>
      <c r="B43">
        <v>428000000</v>
      </c>
      <c r="C43" t="s">
        <v>22</v>
      </c>
      <c r="D43" t="s">
        <v>24</v>
      </c>
      <c r="E43" t="s">
        <v>20</v>
      </c>
      <c r="F43" t="s">
        <v>20</v>
      </c>
      <c r="G43" t="s">
        <v>20</v>
      </c>
      <c r="H43" t="s">
        <v>20</v>
      </c>
    </row>
    <row r="44" spans="1:8" x14ac:dyDescent="0.3">
      <c r="A44">
        <v>3</v>
      </c>
      <c r="B44">
        <v>253000000</v>
      </c>
      <c r="C44" t="s">
        <v>22</v>
      </c>
      <c r="D44" t="s">
        <v>25</v>
      </c>
      <c r="E44" t="s">
        <v>20</v>
      </c>
      <c r="F44" t="s">
        <v>20</v>
      </c>
      <c r="G44" t="s">
        <v>20</v>
      </c>
      <c r="H44" t="s">
        <v>20</v>
      </c>
    </row>
    <row r="45" spans="1:8" x14ac:dyDescent="0.3">
      <c r="A45" t="s">
        <v>20</v>
      </c>
      <c r="B45" t="s">
        <v>20</v>
      </c>
      <c r="C45" t="s">
        <v>20</v>
      </c>
      <c r="D45" t="s">
        <v>20</v>
      </c>
      <c r="E45">
        <v>3</v>
      </c>
      <c r="F45">
        <v>0</v>
      </c>
      <c r="G45" t="s">
        <v>26</v>
      </c>
      <c r="H45" t="s">
        <v>27</v>
      </c>
    </row>
    <row r="46" spans="1:8" x14ac:dyDescent="0.3">
      <c r="A46" t="s">
        <v>20</v>
      </c>
      <c r="B46" t="s">
        <v>20</v>
      </c>
      <c r="C46" t="s">
        <v>20</v>
      </c>
      <c r="D46" t="s">
        <v>20</v>
      </c>
      <c r="E46">
        <v>3</v>
      </c>
      <c r="F46">
        <v>2814141.4750000001</v>
      </c>
      <c r="G46" t="s">
        <v>28</v>
      </c>
      <c r="H46" t="s">
        <v>27</v>
      </c>
    </row>
    <row r="47" spans="1:8" x14ac:dyDescent="0.3">
      <c r="A47" t="s">
        <v>20</v>
      </c>
      <c r="B47" t="s">
        <v>20</v>
      </c>
      <c r="C47" t="s">
        <v>20</v>
      </c>
      <c r="D47" t="s">
        <v>20</v>
      </c>
      <c r="E47">
        <v>3</v>
      </c>
      <c r="F47">
        <v>127519500</v>
      </c>
      <c r="G47" t="s">
        <v>29</v>
      </c>
      <c r="H47" t="s">
        <v>27</v>
      </c>
    </row>
    <row r="48" spans="1:8" x14ac:dyDescent="0.3">
      <c r="A48" t="s">
        <v>20</v>
      </c>
      <c r="B48" t="s">
        <v>20</v>
      </c>
      <c r="C48" t="s">
        <v>20</v>
      </c>
      <c r="D48" t="s">
        <v>20</v>
      </c>
      <c r="E48">
        <v>3</v>
      </c>
      <c r="F48">
        <v>0</v>
      </c>
      <c r="G48" t="s">
        <v>30</v>
      </c>
      <c r="H48" t="s">
        <v>27</v>
      </c>
    </row>
    <row r="49" spans="1:8" x14ac:dyDescent="0.3">
      <c r="A49" t="s">
        <v>20</v>
      </c>
      <c r="B49" t="s">
        <v>20</v>
      </c>
      <c r="C49" t="s">
        <v>20</v>
      </c>
      <c r="D49" t="s">
        <v>20</v>
      </c>
      <c r="E49">
        <v>3</v>
      </c>
      <c r="F49">
        <v>0</v>
      </c>
      <c r="G49" t="s">
        <v>31</v>
      </c>
      <c r="H49" t="s">
        <v>32</v>
      </c>
    </row>
    <row r="50" spans="1:8" x14ac:dyDescent="0.3">
      <c r="A50" t="s">
        <v>20</v>
      </c>
      <c r="B50" t="s">
        <v>20</v>
      </c>
      <c r="C50" t="s">
        <v>20</v>
      </c>
      <c r="D50" t="s">
        <v>20</v>
      </c>
      <c r="E50">
        <v>3</v>
      </c>
      <c r="F50">
        <v>0</v>
      </c>
      <c r="G50" t="s">
        <v>33</v>
      </c>
      <c r="H50" t="s">
        <v>32</v>
      </c>
    </row>
    <row r="51" spans="1:8" x14ac:dyDescent="0.3">
      <c r="A51" t="s">
        <v>20</v>
      </c>
      <c r="B51" t="s">
        <v>20</v>
      </c>
      <c r="C51" t="s">
        <v>20</v>
      </c>
      <c r="D51" t="s">
        <v>20</v>
      </c>
      <c r="E51">
        <v>3</v>
      </c>
      <c r="F51">
        <v>0</v>
      </c>
      <c r="G51" t="s">
        <v>31</v>
      </c>
      <c r="H51" t="s">
        <v>34</v>
      </c>
    </row>
    <row r="52" spans="1:8" x14ac:dyDescent="0.3">
      <c r="A52" t="s">
        <v>20</v>
      </c>
      <c r="B52" t="s">
        <v>20</v>
      </c>
      <c r="C52" t="s">
        <v>20</v>
      </c>
      <c r="D52" t="s">
        <v>20</v>
      </c>
      <c r="E52">
        <v>3</v>
      </c>
      <c r="F52">
        <v>0</v>
      </c>
      <c r="G52" t="s">
        <v>33</v>
      </c>
      <c r="H52" t="s">
        <v>34</v>
      </c>
    </row>
    <row r="53" spans="1:8" x14ac:dyDescent="0.3">
      <c r="A53" t="s">
        <v>20</v>
      </c>
      <c r="B53" t="s">
        <v>20</v>
      </c>
      <c r="C53" t="s">
        <v>20</v>
      </c>
      <c r="D53" t="s">
        <v>20</v>
      </c>
      <c r="E53">
        <v>3</v>
      </c>
      <c r="F53">
        <v>0</v>
      </c>
      <c r="G53" t="s">
        <v>31</v>
      </c>
      <c r="H53" t="s">
        <v>35</v>
      </c>
    </row>
    <row r="54" spans="1:8" x14ac:dyDescent="0.3">
      <c r="A54" t="s">
        <v>20</v>
      </c>
      <c r="B54" t="s">
        <v>20</v>
      </c>
      <c r="C54" t="s">
        <v>20</v>
      </c>
      <c r="D54" t="s">
        <v>20</v>
      </c>
      <c r="E54">
        <v>3</v>
      </c>
      <c r="F54">
        <v>0</v>
      </c>
      <c r="G54" t="s">
        <v>33</v>
      </c>
      <c r="H54" t="s">
        <v>35</v>
      </c>
    </row>
    <row r="55" spans="1:8" x14ac:dyDescent="0.3">
      <c r="A55" t="s">
        <v>20</v>
      </c>
      <c r="B55" t="s">
        <v>20</v>
      </c>
      <c r="C55" t="s">
        <v>20</v>
      </c>
      <c r="D55" t="s">
        <v>20</v>
      </c>
      <c r="E55">
        <v>3</v>
      </c>
      <c r="F55">
        <v>2358216</v>
      </c>
      <c r="G55" t="s">
        <v>36</v>
      </c>
      <c r="H55" t="s">
        <v>37</v>
      </c>
    </row>
    <row r="56" spans="1:8" x14ac:dyDescent="0.3">
      <c r="A56" t="s">
        <v>20</v>
      </c>
      <c r="B56" t="s">
        <v>20</v>
      </c>
      <c r="C56" t="s">
        <v>20</v>
      </c>
      <c r="D56" t="s">
        <v>20</v>
      </c>
      <c r="E56">
        <v>3</v>
      </c>
      <c r="F56">
        <v>2000000</v>
      </c>
      <c r="G56" t="s">
        <v>38</v>
      </c>
      <c r="H56" t="s">
        <v>37</v>
      </c>
    </row>
    <row r="57" spans="1:8" x14ac:dyDescent="0.3">
      <c r="A57" t="s">
        <v>20</v>
      </c>
      <c r="B57" t="s">
        <v>20</v>
      </c>
      <c r="C57" t="s">
        <v>20</v>
      </c>
      <c r="D57" t="s">
        <v>20</v>
      </c>
      <c r="E57">
        <v>3</v>
      </c>
      <c r="F57">
        <v>1544876</v>
      </c>
      <c r="G57" t="s">
        <v>39</v>
      </c>
      <c r="H57" t="s">
        <v>23</v>
      </c>
    </row>
    <row r="58" spans="1:8" x14ac:dyDescent="0.3">
      <c r="A58" t="s">
        <v>20</v>
      </c>
      <c r="B58" t="s">
        <v>20</v>
      </c>
      <c r="C58" t="s">
        <v>20</v>
      </c>
      <c r="D58" t="s">
        <v>20</v>
      </c>
      <c r="E58">
        <v>3</v>
      </c>
      <c r="F58">
        <v>1680440</v>
      </c>
      <c r="G58" t="s">
        <v>39</v>
      </c>
      <c r="H58" t="s">
        <v>24</v>
      </c>
    </row>
    <row r="59" spans="1:8" x14ac:dyDescent="0.3">
      <c r="A59" t="s">
        <v>20</v>
      </c>
      <c r="B59" t="s">
        <v>20</v>
      </c>
      <c r="C59" t="s">
        <v>20</v>
      </c>
      <c r="D59" t="s">
        <v>20</v>
      </c>
      <c r="E59">
        <v>3</v>
      </c>
      <c r="F59">
        <v>901888</v>
      </c>
      <c r="G59" t="s">
        <v>39</v>
      </c>
      <c r="H59" t="s">
        <v>25</v>
      </c>
    </row>
    <row r="60" spans="1:8" x14ac:dyDescent="0.3">
      <c r="A60">
        <v>4</v>
      </c>
      <c r="B60">
        <v>5301508.49</v>
      </c>
      <c r="C60" t="s">
        <v>21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</row>
    <row r="61" spans="1:8" x14ac:dyDescent="0.3">
      <c r="A61">
        <v>4</v>
      </c>
      <c r="B61">
        <v>188000000</v>
      </c>
      <c r="C61" t="s">
        <v>22</v>
      </c>
      <c r="D61" t="s">
        <v>23</v>
      </c>
      <c r="E61" t="s">
        <v>20</v>
      </c>
      <c r="F61" t="s">
        <v>20</v>
      </c>
      <c r="G61" t="s">
        <v>20</v>
      </c>
      <c r="H61" t="s">
        <v>20</v>
      </c>
    </row>
    <row r="62" spans="1:8" x14ac:dyDescent="0.3">
      <c r="A62">
        <v>4</v>
      </c>
      <c r="B62">
        <v>440000000</v>
      </c>
      <c r="C62" t="s">
        <v>22</v>
      </c>
      <c r="D62" t="s">
        <v>24</v>
      </c>
      <c r="E62" t="s">
        <v>20</v>
      </c>
      <c r="F62" t="s">
        <v>20</v>
      </c>
      <c r="G62" t="s">
        <v>20</v>
      </c>
      <c r="H62" t="s">
        <v>20</v>
      </c>
    </row>
    <row r="63" spans="1:8" x14ac:dyDescent="0.3">
      <c r="A63">
        <v>4</v>
      </c>
      <c r="B63">
        <v>230000000</v>
      </c>
      <c r="C63" t="s">
        <v>22</v>
      </c>
      <c r="D63" t="s">
        <v>25</v>
      </c>
      <c r="E63" t="s">
        <v>20</v>
      </c>
      <c r="F63" t="s">
        <v>20</v>
      </c>
      <c r="G63" t="s">
        <v>20</v>
      </c>
      <c r="H63" t="s">
        <v>20</v>
      </c>
    </row>
    <row r="64" spans="1:8" x14ac:dyDescent="0.3">
      <c r="A64" t="s">
        <v>20</v>
      </c>
      <c r="B64" t="s">
        <v>20</v>
      </c>
      <c r="C64" t="s">
        <v>20</v>
      </c>
      <c r="D64" t="s">
        <v>20</v>
      </c>
      <c r="E64">
        <v>4</v>
      </c>
      <c r="F64">
        <v>0</v>
      </c>
      <c r="G64" t="s">
        <v>26</v>
      </c>
      <c r="H64" t="s">
        <v>27</v>
      </c>
    </row>
    <row r="65" spans="1:8" x14ac:dyDescent="0.3">
      <c r="A65" t="s">
        <v>20</v>
      </c>
      <c r="B65" t="s">
        <v>20</v>
      </c>
      <c r="C65" t="s">
        <v>20</v>
      </c>
      <c r="D65" t="s">
        <v>20</v>
      </c>
      <c r="E65">
        <v>4</v>
      </c>
      <c r="F65">
        <v>3262244.3050000002</v>
      </c>
      <c r="G65" t="s">
        <v>28</v>
      </c>
      <c r="H65" t="s">
        <v>27</v>
      </c>
    </row>
    <row r="66" spans="1:8" x14ac:dyDescent="0.3">
      <c r="A66" t="s">
        <v>20</v>
      </c>
      <c r="B66" t="s">
        <v>20</v>
      </c>
      <c r="C66" t="s">
        <v>20</v>
      </c>
      <c r="D66" t="s">
        <v>20</v>
      </c>
      <c r="E66">
        <v>4</v>
      </c>
      <c r="F66">
        <v>165882000</v>
      </c>
      <c r="G66" t="s">
        <v>29</v>
      </c>
      <c r="H66" t="s">
        <v>27</v>
      </c>
    </row>
    <row r="67" spans="1:8" x14ac:dyDescent="0.3">
      <c r="A67" t="s">
        <v>20</v>
      </c>
      <c r="B67" t="s">
        <v>20</v>
      </c>
      <c r="C67" t="s">
        <v>20</v>
      </c>
      <c r="D67" t="s">
        <v>20</v>
      </c>
      <c r="E67">
        <v>4</v>
      </c>
      <c r="F67">
        <v>5000000</v>
      </c>
      <c r="G67" t="s">
        <v>30</v>
      </c>
      <c r="H67" t="s">
        <v>27</v>
      </c>
    </row>
    <row r="68" spans="1:8" x14ac:dyDescent="0.3">
      <c r="A68" t="s">
        <v>20</v>
      </c>
      <c r="B68" t="s">
        <v>20</v>
      </c>
      <c r="C68" t="s">
        <v>20</v>
      </c>
      <c r="D68" t="s">
        <v>20</v>
      </c>
      <c r="E68">
        <v>4</v>
      </c>
      <c r="F68">
        <v>1000000</v>
      </c>
      <c r="G68" t="s">
        <v>31</v>
      </c>
      <c r="H68" t="s">
        <v>32</v>
      </c>
    </row>
    <row r="69" spans="1:8" x14ac:dyDescent="0.3">
      <c r="A69" t="s">
        <v>20</v>
      </c>
      <c r="B69" t="s">
        <v>20</v>
      </c>
      <c r="C69" t="s">
        <v>20</v>
      </c>
      <c r="D69" t="s">
        <v>20</v>
      </c>
      <c r="E69">
        <v>4</v>
      </c>
      <c r="F69">
        <v>56760000</v>
      </c>
      <c r="G69" t="s">
        <v>33</v>
      </c>
      <c r="H69" t="s">
        <v>32</v>
      </c>
    </row>
    <row r="70" spans="1:8" x14ac:dyDescent="0.3">
      <c r="A70" t="s">
        <v>20</v>
      </c>
      <c r="B70" t="s">
        <v>20</v>
      </c>
      <c r="C70" t="s">
        <v>20</v>
      </c>
      <c r="D70" t="s">
        <v>20</v>
      </c>
      <c r="E70">
        <v>4</v>
      </c>
      <c r="F70">
        <v>0</v>
      </c>
      <c r="G70" t="s">
        <v>31</v>
      </c>
      <c r="H70" t="s">
        <v>34</v>
      </c>
    </row>
    <row r="71" spans="1:8" x14ac:dyDescent="0.3">
      <c r="A71" t="s">
        <v>20</v>
      </c>
      <c r="B71" t="s">
        <v>20</v>
      </c>
      <c r="C71" t="s">
        <v>20</v>
      </c>
      <c r="D71" t="s">
        <v>20</v>
      </c>
      <c r="E71">
        <v>4</v>
      </c>
      <c r="F71">
        <v>0</v>
      </c>
      <c r="G71" t="s">
        <v>33</v>
      </c>
      <c r="H71" t="s">
        <v>34</v>
      </c>
    </row>
    <row r="72" spans="1:8" x14ac:dyDescent="0.3">
      <c r="A72" t="s">
        <v>20</v>
      </c>
      <c r="B72" t="s">
        <v>20</v>
      </c>
      <c r="C72" t="s">
        <v>20</v>
      </c>
      <c r="D72" t="s">
        <v>20</v>
      </c>
      <c r="E72">
        <v>4</v>
      </c>
      <c r="F72">
        <v>0</v>
      </c>
      <c r="G72" t="s">
        <v>31</v>
      </c>
      <c r="H72" t="s">
        <v>35</v>
      </c>
    </row>
    <row r="73" spans="1:8" x14ac:dyDescent="0.3">
      <c r="A73" t="s">
        <v>20</v>
      </c>
      <c r="B73" t="s">
        <v>20</v>
      </c>
      <c r="C73" t="s">
        <v>20</v>
      </c>
      <c r="D73" t="s">
        <v>20</v>
      </c>
      <c r="E73">
        <v>4</v>
      </c>
      <c r="F73">
        <v>0</v>
      </c>
      <c r="G73" t="s">
        <v>33</v>
      </c>
      <c r="H73" t="s">
        <v>35</v>
      </c>
    </row>
    <row r="74" spans="1:8" x14ac:dyDescent="0.3">
      <c r="A74" t="s">
        <v>20</v>
      </c>
      <c r="B74" t="s">
        <v>20</v>
      </c>
      <c r="C74" t="s">
        <v>20</v>
      </c>
      <c r="D74" t="s">
        <v>20</v>
      </c>
      <c r="E74">
        <v>4</v>
      </c>
      <c r="F74">
        <v>2098764</v>
      </c>
      <c r="G74" t="s">
        <v>36</v>
      </c>
      <c r="H74" t="s">
        <v>37</v>
      </c>
    </row>
    <row r="75" spans="1:8" x14ac:dyDescent="0.3">
      <c r="A75" t="s">
        <v>20</v>
      </c>
      <c r="B75" t="s">
        <v>20</v>
      </c>
      <c r="C75" t="s">
        <v>20</v>
      </c>
      <c r="D75" t="s">
        <v>20</v>
      </c>
      <c r="E75">
        <v>4</v>
      </c>
      <c r="F75">
        <v>3000000</v>
      </c>
      <c r="G75" t="s">
        <v>38</v>
      </c>
      <c r="H75" t="s">
        <v>37</v>
      </c>
    </row>
    <row r="76" spans="1:8" x14ac:dyDescent="0.3">
      <c r="A76" t="s">
        <v>20</v>
      </c>
      <c r="B76" t="s">
        <v>20</v>
      </c>
      <c r="C76" t="s">
        <v>20</v>
      </c>
      <c r="D76" t="s">
        <v>20</v>
      </c>
      <c r="E76">
        <v>4</v>
      </c>
      <c r="F76">
        <v>955840</v>
      </c>
      <c r="G76" t="s">
        <v>39</v>
      </c>
      <c r="H76" t="s">
        <v>23</v>
      </c>
    </row>
    <row r="77" spans="1:8" x14ac:dyDescent="0.3">
      <c r="A77" t="s">
        <v>20</v>
      </c>
      <c r="B77" t="s">
        <v>20</v>
      </c>
      <c r="C77" t="s">
        <v>20</v>
      </c>
      <c r="D77" t="s">
        <v>20</v>
      </c>
      <c r="E77">
        <v>4</v>
      </c>
      <c r="F77">
        <v>1436260</v>
      </c>
      <c r="G77" t="s">
        <v>39</v>
      </c>
      <c r="H77" t="s">
        <v>24</v>
      </c>
    </row>
    <row r="78" spans="1:8" x14ac:dyDescent="0.3">
      <c r="A78" t="s">
        <v>20</v>
      </c>
      <c r="B78" t="s">
        <v>20</v>
      </c>
      <c r="C78" t="s">
        <v>20</v>
      </c>
      <c r="D78" t="s">
        <v>20</v>
      </c>
      <c r="E78">
        <v>4</v>
      </c>
      <c r="F78">
        <v>615360</v>
      </c>
      <c r="G78" t="s">
        <v>39</v>
      </c>
      <c r="H78" t="s">
        <v>25</v>
      </c>
    </row>
    <row r="79" spans="1:8" x14ac:dyDescent="0.3">
      <c r="A79">
        <v>5</v>
      </c>
      <c r="B79">
        <v>6739872.4299999997</v>
      </c>
      <c r="C79" t="s">
        <v>21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</row>
    <row r="80" spans="1:8" x14ac:dyDescent="0.3">
      <c r="A80">
        <v>5</v>
      </c>
      <c r="B80">
        <v>304000000</v>
      </c>
      <c r="C80" t="s">
        <v>22</v>
      </c>
      <c r="D80" t="s">
        <v>23</v>
      </c>
      <c r="E80" t="s">
        <v>20</v>
      </c>
      <c r="F80" t="s">
        <v>20</v>
      </c>
      <c r="G80" t="s">
        <v>20</v>
      </c>
      <c r="H80" t="s">
        <v>20</v>
      </c>
    </row>
    <row r="81" spans="1:8" x14ac:dyDescent="0.3">
      <c r="A81">
        <v>5</v>
      </c>
      <c r="B81">
        <v>419000000</v>
      </c>
      <c r="C81" t="s">
        <v>22</v>
      </c>
      <c r="D81" t="s">
        <v>24</v>
      </c>
      <c r="E81" t="s">
        <v>20</v>
      </c>
      <c r="F81" t="s">
        <v>20</v>
      </c>
      <c r="G81" t="s">
        <v>20</v>
      </c>
      <c r="H81" t="s">
        <v>20</v>
      </c>
    </row>
    <row r="82" spans="1:8" x14ac:dyDescent="0.3">
      <c r="A82">
        <v>5</v>
      </c>
      <c r="B82">
        <v>234000000</v>
      </c>
      <c r="C82" t="s">
        <v>22</v>
      </c>
      <c r="D82" t="s">
        <v>25</v>
      </c>
      <c r="E82" t="s">
        <v>20</v>
      </c>
      <c r="F82" t="s">
        <v>20</v>
      </c>
      <c r="G82" t="s">
        <v>20</v>
      </c>
      <c r="H82" t="s">
        <v>20</v>
      </c>
    </row>
    <row r="83" spans="1:8" x14ac:dyDescent="0.3">
      <c r="A83" t="s">
        <v>20</v>
      </c>
      <c r="B83" t="s">
        <v>20</v>
      </c>
      <c r="C83" t="s">
        <v>20</v>
      </c>
      <c r="D83" t="s">
        <v>20</v>
      </c>
      <c r="E83">
        <v>5</v>
      </c>
      <c r="F83">
        <v>0</v>
      </c>
      <c r="G83" t="s">
        <v>26</v>
      </c>
      <c r="H83" t="s">
        <v>27</v>
      </c>
    </row>
    <row r="84" spans="1:8" x14ac:dyDescent="0.3">
      <c r="A84" t="s">
        <v>20</v>
      </c>
      <c r="B84" t="s">
        <v>20</v>
      </c>
      <c r="C84" t="s">
        <v>20</v>
      </c>
      <c r="D84" t="s">
        <v>20</v>
      </c>
      <c r="E84">
        <v>5</v>
      </c>
      <c r="F84">
        <v>2924583.0249999999</v>
      </c>
      <c r="G84" t="s">
        <v>28</v>
      </c>
      <c r="H84" t="s">
        <v>27</v>
      </c>
    </row>
    <row r="85" spans="1:8" x14ac:dyDescent="0.3">
      <c r="A85" t="s">
        <v>20</v>
      </c>
      <c r="B85" t="s">
        <v>20</v>
      </c>
      <c r="C85" t="s">
        <v>20</v>
      </c>
      <c r="D85" t="s">
        <v>20</v>
      </c>
      <c r="E85">
        <v>5</v>
      </c>
      <c r="F85">
        <v>2700000</v>
      </c>
      <c r="G85" t="s">
        <v>29</v>
      </c>
      <c r="H85" t="s">
        <v>27</v>
      </c>
    </row>
    <row r="86" spans="1:8" x14ac:dyDescent="0.3">
      <c r="A86" t="s">
        <v>20</v>
      </c>
      <c r="B86" t="s">
        <v>20</v>
      </c>
      <c r="C86" t="s">
        <v>20</v>
      </c>
      <c r="D86" t="s">
        <v>20</v>
      </c>
      <c r="E86">
        <v>5</v>
      </c>
      <c r="F86">
        <v>2500000</v>
      </c>
      <c r="G86" t="s">
        <v>30</v>
      </c>
      <c r="H86" t="s">
        <v>27</v>
      </c>
    </row>
    <row r="87" spans="1:8" x14ac:dyDescent="0.3">
      <c r="A87" t="s">
        <v>20</v>
      </c>
      <c r="B87" t="s">
        <v>20</v>
      </c>
      <c r="C87" t="s">
        <v>20</v>
      </c>
      <c r="D87" t="s">
        <v>20</v>
      </c>
      <c r="E87">
        <v>5</v>
      </c>
      <c r="F87">
        <v>0</v>
      </c>
      <c r="G87" t="s">
        <v>31</v>
      </c>
      <c r="H87" t="s">
        <v>32</v>
      </c>
    </row>
    <row r="88" spans="1:8" x14ac:dyDescent="0.3">
      <c r="A88" t="s">
        <v>20</v>
      </c>
      <c r="B88" t="s">
        <v>20</v>
      </c>
      <c r="C88" t="s">
        <v>20</v>
      </c>
      <c r="D88" t="s">
        <v>20</v>
      </c>
      <c r="E88">
        <v>5</v>
      </c>
      <c r="F88">
        <v>0</v>
      </c>
      <c r="G88" t="s">
        <v>33</v>
      </c>
      <c r="H88" t="s">
        <v>32</v>
      </c>
    </row>
    <row r="89" spans="1:8" x14ac:dyDescent="0.3">
      <c r="A89" t="s">
        <v>20</v>
      </c>
      <c r="B89" t="s">
        <v>20</v>
      </c>
      <c r="C89" t="s">
        <v>20</v>
      </c>
      <c r="D89" t="s">
        <v>20</v>
      </c>
      <c r="E89">
        <v>5</v>
      </c>
      <c r="F89">
        <v>0</v>
      </c>
      <c r="G89" t="s">
        <v>31</v>
      </c>
      <c r="H89" t="s">
        <v>34</v>
      </c>
    </row>
    <row r="90" spans="1:8" x14ac:dyDescent="0.3">
      <c r="A90" t="s">
        <v>20</v>
      </c>
      <c r="B90" t="s">
        <v>20</v>
      </c>
      <c r="C90" t="s">
        <v>20</v>
      </c>
      <c r="D90" t="s">
        <v>20</v>
      </c>
      <c r="E90">
        <v>5</v>
      </c>
      <c r="F90">
        <v>0</v>
      </c>
      <c r="G90" t="s">
        <v>33</v>
      </c>
      <c r="H90" t="s">
        <v>34</v>
      </c>
    </row>
    <row r="91" spans="1:8" x14ac:dyDescent="0.3">
      <c r="A91" t="s">
        <v>20</v>
      </c>
      <c r="B91" t="s">
        <v>20</v>
      </c>
      <c r="C91" t="s">
        <v>20</v>
      </c>
      <c r="D91" t="s">
        <v>20</v>
      </c>
      <c r="E91">
        <v>5</v>
      </c>
      <c r="F91">
        <v>0</v>
      </c>
      <c r="G91" t="s">
        <v>31</v>
      </c>
      <c r="H91" t="s">
        <v>35</v>
      </c>
    </row>
    <row r="92" spans="1:8" x14ac:dyDescent="0.3">
      <c r="A92" t="s">
        <v>20</v>
      </c>
      <c r="B92" t="s">
        <v>20</v>
      </c>
      <c r="C92" t="s">
        <v>20</v>
      </c>
      <c r="D92" t="s">
        <v>20</v>
      </c>
      <c r="E92">
        <v>5</v>
      </c>
      <c r="F92">
        <v>0</v>
      </c>
      <c r="G92" t="s">
        <v>33</v>
      </c>
      <c r="H92" t="s">
        <v>35</v>
      </c>
    </row>
    <row r="93" spans="1:8" x14ac:dyDescent="0.3">
      <c r="A93" t="s">
        <v>20</v>
      </c>
      <c r="B93" t="s">
        <v>20</v>
      </c>
      <c r="C93" t="s">
        <v>20</v>
      </c>
      <c r="D93" t="s">
        <v>20</v>
      </c>
      <c r="E93">
        <v>5</v>
      </c>
      <c r="F93">
        <v>1665324</v>
      </c>
      <c r="G93" t="s">
        <v>36</v>
      </c>
      <c r="H93" t="s">
        <v>37</v>
      </c>
    </row>
    <row r="94" spans="1:8" x14ac:dyDescent="0.3">
      <c r="A94" t="s">
        <v>20</v>
      </c>
      <c r="B94" t="s">
        <v>20</v>
      </c>
      <c r="C94" t="s">
        <v>20</v>
      </c>
      <c r="D94" t="s">
        <v>20</v>
      </c>
      <c r="E94">
        <v>5</v>
      </c>
      <c r="F94">
        <v>4000000</v>
      </c>
      <c r="G94" t="s">
        <v>38</v>
      </c>
      <c r="H94" t="s">
        <v>37</v>
      </c>
    </row>
    <row r="95" spans="1:8" x14ac:dyDescent="0.3">
      <c r="A95" t="s">
        <v>20</v>
      </c>
      <c r="B95" t="s">
        <v>20</v>
      </c>
      <c r="C95" t="s">
        <v>20</v>
      </c>
      <c r="D95" t="s">
        <v>20</v>
      </c>
      <c r="E95">
        <v>5</v>
      </c>
      <c r="F95">
        <v>1591440</v>
      </c>
      <c r="G95" t="s">
        <v>39</v>
      </c>
      <c r="H95" t="s">
        <v>23</v>
      </c>
    </row>
    <row r="96" spans="1:8" x14ac:dyDescent="0.3">
      <c r="A96" t="s">
        <v>20</v>
      </c>
      <c r="B96" t="s">
        <v>20</v>
      </c>
      <c r="C96" t="s">
        <v>20</v>
      </c>
      <c r="D96" t="s">
        <v>20</v>
      </c>
      <c r="E96">
        <v>5</v>
      </c>
      <c r="F96">
        <v>1127240</v>
      </c>
      <c r="G96" t="s">
        <v>39</v>
      </c>
      <c r="H96" t="s">
        <v>24</v>
      </c>
    </row>
    <row r="97" spans="1:8" x14ac:dyDescent="0.3">
      <c r="A97" t="s">
        <v>20</v>
      </c>
      <c r="B97" t="s">
        <v>20</v>
      </c>
      <c r="C97" t="s">
        <v>20</v>
      </c>
      <c r="D97" t="s">
        <v>20</v>
      </c>
      <c r="E97">
        <v>5</v>
      </c>
      <c r="F97">
        <v>635072</v>
      </c>
      <c r="G97" t="s">
        <v>39</v>
      </c>
      <c r="H97" t="s">
        <v>25</v>
      </c>
    </row>
    <row r="98" spans="1:8" x14ac:dyDescent="0.3">
      <c r="A98">
        <v>6</v>
      </c>
      <c r="B98">
        <v>8924325.2300000004</v>
      </c>
      <c r="C98" t="s">
        <v>21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</row>
    <row r="99" spans="1:8" x14ac:dyDescent="0.3">
      <c r="A99">
        <v>6</v>
      </c>
      <c r="B99">
        <v>231000000</v>
      </c>
      <c r="C99" t="s">
        <v>22</v>
      </c>
      <c r="D99" t="s">
        <v>23</v>
      </c>
      <c r="E99" t="s">
        <v>20</v>
      </c>
      <c r="F99" t="s">
        <v>20</v>
      </c>
      <c r="G99" t="s">
        <v>20</v>
      </c>
      <c r="H99" t="s">
        <v>20</v>
      </c>
    </row>
    <row r="100" spans="1:8" x14ac:dyDescent="0.3">
      <c r="A100">
        <v>6</v>
      </c>
      <c r="B100">
        <v>454000000</v>
      </c>
      <c r="C100" t="s">
        <v>22</v>
      </c>
      <c r="D100" t="s">
        <v>24</v>
      </c>
      <c r="E100" t="s">
        <v>20</v>
      </c>
      <c r="F100" t="s">
        <v>20</v>
      </c>
      <c r="G100" t="s">
        <v>20</v>
      </c>
      <c r="H100" t="s">
        <v>20</v>
      </c>
    </row>
    <row r="101" spans="1:8" x14ac:dyDescent="0.3">
      <c r="A101">
        <v>6</v>
      </c>
      <c r="B101">
        <v>270000000</v>
      </c>
      <c r="C101" t="s">
        <v>22</v>
      </c>
      <c r="D101" t="s">
        <v>25</v>
      </c>
      <c r="E101" t="s">
        <v>20</v>
      </c>
      <c r="F101" t="s">
        <v>20</v>
      </c>
      <c r="G101" t="s">
        <v>20</v>
      </c>
      <c r="H101" t="s">
        <v>20</v>
      </c>
    </row>
    <row r="102" spans="1:8" x14ac:dyDescent="0.3">
      <c r="A102" t="s">
        <v>20</v>
      </c>
      <c r="B102" t="s">
        <v>20</v>
      </c>
      <c r="C102" t="s">
        <v>20</v>
      </c>
      <c r="D102" t="s">
        <v>20</v>
      </c>
      <c r="E102">
        <v>6</v>
      </c>
      <c r="F102">
        <v>0</v>
      </c>
      <c r="G102" t="s">
        <v>26</v>
      </c>
      <c r="H102" t="s">
        <v>27</v>
      </c>
    </row>
    <row r="103" spans="1:8" x14ac:dyDescent="0.3">
      <c r="A103" t="s">
        <v>20</v>
      </c>
      <c r="B103" t="s">
        <v>20</v>
      </c>
      <c r="C103" t="s">
        <v>20</v>
      </c>
      <c r="D103" t="s">
        <v>20</v>
      </c>
      <c r="E103">
        <v>6</v>
      </c>
      <c r="F103">
        <v>3122116.49</v>
      </c>
      <c r="G103" t="s">
        <v>28</v>
      </c>
      <c r="H103" t="s">
        <v>27</v>
      </c>
    </row>
    <row r="104" spans="1:8" x14ac:dyDescent="0.3">
      <c r="A104" t="s">
        <v>20</v>
      </c>
      <c r="B104" t="s">
        <v>20</v>
      </c>
      <c r="C104" t="s">
        <v>20</v>
      </c>
      <c r="D104" t="s">
        <v>20</v>
      </c>
      <c r="E104">
        <v>6</v>
      </c>
      <c r="F104">
        <v>140838000</v>
      </c>
      <c r="G104" t="s">
        <v>29</v>
      </c>
      <c r="H104" t="s">
        <v>27</v>
      </c>
    </row>
    <row r="105" spans="1:8" x14ac:dyDescent="0.3">
      <c r="A105" t="s">
        <v>20</v>
      </c>
      <c r="B105" t="s">
        <v>20</v>
      </c>
      <c r="C105" t="s">
        <v>20</v>
      </c>
      <c r="D105" t="s">
        <v>20</v>
      </c>
      <c r="E105">
        <v>6</v>
      </c>
      <c r="F105">
        <v>4500000</v>
      </c>
      <c r="G105" t="s">
        <v>30</v>
      </c>
      <c r="H105" t="s">
        <v>27</v>
      </c>
    </row>
    <row r="106" spans="1:8" x14ac:dyDescent="0.3">
      <c r="A106" t="s">
        <v>20</v>
      </c>
      <c r="B106" t="s">
        <v>20</v>
      </c>
      <c r="C106" t="s">
        <v>20</v>
      </c>
      <c r="D106" t="s">
        <v>20</v>
      </c>
      <c r="E106">
        <v>6</v>
      </c>
      <c r="F106">
        <v>1000000</v>
      </c>
      <c r="G106" t="s">
        <v>31</v>
      </c>
      <c r="H106" t="s">
        <v>32</v>
      </c>
    </row>
    <row r="107" spans="1:8" x14ac:dyDescent="0.3">
      <c r="A107" t="s">
        <v>20</v>
      </c>
      <c r="B107" t="s">
        <v>20</v>
      </c>
      <c r="C107" t="s">
        <v>20</v>
      </c>
      <c r="D107" t="s">
        <v>20</v>
      </c>
      <c r="E107">
        <v>6</v>
      </c>
      <c r="F107">
        <v>84420000</v>
      </c>
      <c r="G107" t="s">
        <v>33</v>
      </c>
      <c r="H107" t="s">
        <v>32</v>
      </c>
    </row>
    <row r="108" spans="1:8" x14ac:dyDescent="0.3">
      <c r="A108" t="s">
        <v>20</v>
      </c>
      <c r="B108" t="s">
        <v>20</v>
      </c>
      <c r="C108" t="s">
        <v>20</v>
      </c>
      <c r="D108" t="s">
        <v>20</v>
      </c>
      <c r="E108">
        <v>6</v>
      </c>
      <c r="F108">
        <v>0</v>
      </c>
      <c r="G108" t="s">
        <v>31</v>
      </c>
      <c r="H108" t="s">
        <v>34</v>
      </c>
    </row>
    <row r="109" spans="1:8" x14ac:dyDescent="0.3">
      <c r="A109" t="s">
        <v>20</v>
      </c>
      <c r="B109" t="s">
        <v>20</v>
      </c>
      <c r="C109" t="s">
        <v>20</v>
      </c>
      <c r="D109" t="s">
        <v>20</v>
      </c>
      <c r="E109">
        <v>6</v>
      </c>
      <c r="F109">
        <v>0</v>
      </c>
      <c r="G109" t="s">
        <v>33</v>
      </c>
      <c r="H109" t="s">
        <v>34</v>
      </c>
    </row>
    <row r="110" spans="1:8" x14ac:dyDescent="0.3">
      <c r="A110" t="s">
        <v>20</v>
      </c>
      <c r="B110" t="s">
        <v>20</v>
      </c>
      <c r="C110" t="s">
        <v>20</v>
      </c>
      <c r="D110" t="s">
        <v>20</v>
      </c>
      <c r="E110">
        <v>6</v>
      </c>
      <c r="F110">
        <v>0</v>
      </c>
      <c r="G110" t="s">
        <v>31</v>
      </c>
      <c r="H110" t="s">
        <v>35</v>
      </c>
    </row>
    <row r="111" spans="1:8" x14ac:dyDescent="0.3">
      <c r="A111" t="s">
        <v>20</v>
      </c>
      <c r="B111" t="s">
        <v>20</v>
      </c>
      <c r="C111" t="s">
        <v>20</v>
      </c>
      <c r="D111" t="s">
        <v>20</v>
      </c>
      <c r="E111">
        <v>6</v>
      </c>
      <c r="F111">
        <v>0</v>
      </c>
      <c r="G111" t="s">
        <v>33</v>
      </c>
      <c r="H111" t="s">
        <v>35</v>
      </c>
    </row>
    <row r="112" spans="1:8" x14ac:dyDescent="0.3">
      <c r="A112" t="s">
        <v>20</v>
      </c>
      <c r="B112" t="s">
        <v>20</v>
      </c>
      <c r="C112" t="s">
        <v>20</v>
      </c>
      <c r="D112" t="s">
        <v>20</v>
      </c>
      <c r="E112">
        <v>6</v>
      </c>
      <c r="F112">
        <v>811680</v>
      </c>
      <c r="G112" t="s">
        <v>36</v>
      </c>
      <c r="H112" t="s">
        <v>37</v>
      </c>
    </row>
    <row r="113" spans="1:8" x14ac:dyDescent="0.3">
      <c r="A113" t="s">
        <v>20</v>
      </c>
      <c r="B113" t="s">
        <v>20</v>
      </c>
      <c r="C113" t="s">
        <v>20</v>
      </c>
      <c r="D113" t="s">
        <v>20</v>
      </c>
      <c r="E113">
        <v>6</v>
      </c>
      <c r="F113">
        <v>1000000</v>
      </c>
      <c r="G113" t="s">
        <v>38</v>
      </c>
      <c r="H113" t="s">
        <v>37</v>
      </c>
    </row>
    <row r="114" spans="1:8" x14ac:dyDescent="0.3">
      <c r="A114" t="s">
        <v>20</v>
      </c>
      <c r="B114" t="s">
        <v>20</v>
      </c>
      <c r="C114" t="s">
        <v>20</v>
      </c>
      <c r="D114" t="s">
        <v>20</v>
      </c>
      <c r="E114">
        <v>6</v>
      </c>
      <c r="F114">
        <v>1519004</v>
      </c>
      <c r="G114" t="s">
        <v>39</v>
      </c>
      <c r="H114" t="s">
        <v>23</v>
      </c>
    </row>
    <row r="115" spans="1:8" x14ac:dyDescent="0.3">
      <c r="A115" t="s">
        <v>20</v>
      </c>
      <c r="B115" t="s">
        <v>20</v>
      </c>
      <c r="C115" t="s">
        <v>20</v>
      </c>
      <c r="D115" t="s">
        <v>20</v>
      </c>
      <c r="E115">
        <v>6</v>
      </c>
      <c r="F115">
        <v>1193840</v>
      </c>
      <c r="G115" t="s">
        <v>39</v>
      </c>
      <c r="H115" t="s">
        <v>24</v>
      </c>
    </row>
    <row r="116" spans="1:8" x14ac:dyDescent="0.3">
      <c r="A116" t="s">
        <v>20</v>
      </c>
      <c r="B116" t="s">
        <v>20</v>
      </c>
      <c r="C116" t="s">
        <v>20</v>
      </c>
      <c r="D116" t="s">
        <v>20</v>
      </c>
      <c r="E116">
        <v>6</v>
      </c>
      <c r="F116">
        <v>951168</v>
      </c>
      <c r="G116" t="s">
        <v>39</v>
      </c>
      <c r="H116" t="s">
        <v>25</v>
      </c>
    </row>
  </sheetData>
  <pageMargins left="0.7" right="0.7" top="0.75" bottom="0.75" header="0.3" footer="0.3"/>
  <ignoredErrors>
    <ignoredError sqref="A1:H11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49"/>
  <sheetViews>
    <sheetView topLeftCell="K19" zoomScale="80" zoomScaleNormal="80" workbookViewId="0">
      <selection activeCell="P40" sqref="P40"/>
    </sheetView>
  </sheetViews>
  <sheetFormatPr defaultColWidth="11.19921875" defaultRowHeight="15.6" x14ac:dyDescent="0.3"/>
  <cols>
    <col min="1" max="1" width="42.19921875" bestFit="1" customWidth="1"/>
    <col min="2" max="2" width="21" style="13" bestFit="1" customWidth="1"/>
    <col min="3" max="3" width="19.69921875" style="13" bestFit="1" customWidth="1"/>
    <col min="4" max="4" width="23.296875" style="13" bestFit="1" customWidth="1"/>
    <col min="5" max="5" width="24.8984375" style="13" bestFit="1" customWidth="1"/>
    <col min="6" max="6" width="22.5" bestFit="1" customWidth="1"/>
    <col min="7" max="8" width="22" bestFit="1" customWidth="1"/>
    <col min="9" max="9" width="34.5" bestFit="1" customWidth="1"/>
    <col min="10" max="10" width="32.3984375" bestFit="1" customWidth="1"/>
    <col min="11" max="11" width="40.5" bestFit="1" customWidth="1"/>
    <col min="12" max="12" width="42.19921875" bestFit="1" customWidth="1"/>
    <col min="13" max="13" width="27.8984375" bestFit="1" customWidth="1"/>
    <col min="14" max="14" width="23.296875" bestFit="1" customWidth="1"/>
    <col min="15" max="15" width="24.3984375" bestFit="1" customWidth="1"/>
    <col min="16" max="16" width="22.796875" bestFit="1" customWidth="1"/>
    <col min="17" max="17" width="15.796875" bestFit="1" customWidth="1"/>
    <col min="18" max="19" width="15.296875" bestFit="1" customWidth="1"/>
    <col min="20" max="20" width="21.19921875" bestFit="1" customWidth="1"/>
    <col min="21" max="21" width="15.296875" bestFit="1" customWidth="1"/>
    <col min="22" max="22" width="16.09765625" bestFit="1" customWidth="1"/>
    <col min="23" max="23" width="24.69921875" bestFit="1" customWidth="1"/>
    <col min="24" max="25" width="14.3984375" bestFit="1" customWidth="1"/>
    <col min="26" max="26" width="14.8984375" bestFit="1" customWidth="1"/>
    <col min="27" max="27" width="20.296875" bestFit="1" customWidth="1"/>
    <col min="28" max="29" width="20.796875" bestFit="1" customWidth="1"/>
    <col min="30" max="30" width="20.296875" bestFit="1" customWidth="1"/>
  </cols>
  <sheetData>
    <row r="1" spans="1:5" x14ac:dyDescent="0.3">
      <c r="A1" t="s">
        <v>40</v>
      </c>
    </row>
    <row r="2" spans="1:5" x14ac:dyDescent="0.3">
      <c r="A2" t="s">
        <v>0</v>
      </c>
      <c r="B2" s="13" t="s">
        <v>41</v>
      </c>
      <c r="C2" s="13" t="s">
        <v>42</v>
      </c>
      <c r="D2" s="13" t="s">
        <v>43</v>
      </c>
      <c r="E2" s="13" t="s">
        <v>44</v>
      </c>
    </row>
    <row r="3" spans="1:5" x14ac:dyDescent="0.3">
      <c r="A3" t="s">
        <v>45</v>
      </c>
      <c r="B3" s="13">
        <v>0.8</v>
      </c>
      <c r="C3" s="13">
        <v>2.2000000000000002</v>
      </c>
      <c r="D3" s="13">
        <v>1.4</v>
      </c>
      <c r="E3" s="13">
        <v>1</v>
      </c>
    </row>
    <row r="4" spans="1:5" x14ac:dyDescent="0.3">
      <c r="A4" t="s">
        <v>46</v>
      </c>
      <c r="B4" s="13">
        <v>1.1000000000000001</v>
      </c>
      <c r="C4" s="13">
        <v>1.2</v>
      </c>
      <c r="D4" s="13">
        <v>1.2</v>
      </c>
      <c r="E4" s="13">
        <v>1</v>
      </c>
    </row>
    <row r="5" spans="1:5" x14ac:dyDescent="0.3">
      <c r="A5" t="s">
        <v>47</v>
      </c>
      <c r="B5" s="13">
        <v>1.2</v>
      </c>
      <c r="C5" s="13">
        <v>2.5</v>
      </c>
      <c r="D5" s="13">
        <v>1.3</v>
      </c>
      <c r="E5" s="13">
        <v>1</v>
      </c>
    </row>
    <row r="7" spans="1:5" x14ac:dyDescent="0.3">
      <c r="A7" t="s">
        <v>48</v>
      </c>
    </row>
    <row r="8" spans="1:5" x14ac:dyDescent="0.3">
      <c r="A8" t="s">
        <v>0</v>
      </c>
      <c r="B8" s="13" t="s">
        <v>41</v>
      </c>
      <c r="C8" s="13" t="s">
        <v>42</v>
      </c>
      <c r="D8" s="13" t="s">
        <v>43</v>
      </c>
      <c r="E8" s="13" t="s">
        <v>44</v>
      </c>
    </row>
    <row r="9" spans="1:5" x14ac:dyDescent="0.3">
      <c r="A9" t="s">
        <v>49</v>
      </c>
      <c r="B9" s="13">
        <v>0.11</v>
      </c>
      <c r="C9" s="13">
        <v>0.22</v>
      </c>
      <c r="D9" s="13">
        <v>0.08</v>
      </c>
      <c r="E9" s="13">
        <v>0.1</v>
      </c>
    </row>
    <row r="10" spans="1:5" x14ac:dyDescent="0.3">
      <c r="A10" t="s">
        <v>50</v>
      </c>
      <c r="B10" s="13">
        <v>0.22</v>
      </c>
      <c r="C10" s="13">
        <v>0.22</v>
      </c>
      <c r="D10" s="13">
        <v>0.08</v>
      </c>
      <c r="E10" s="13">
        <v>0.1</v>
      </c>
    </row>
    <row r="11" spans="1:5" x14ac:dyDescent="0.3">
      <c r="A11" t="s">
        <v>51</v>
      </c>
      <c r="B11" s="13">
        <v>0.22</v>
      </c>
      <c r="C11" s="13">
        <v>0.44</v>
      </c>
      <c r="D11" s="13">
        <v>0.08</v>
      </c>
      <c r="E11" s="13">
        <v>0.1</v>
      </c>
    </row>
    <row r="12" spans="1:5" x14ac:dyDescent="0.3">
      <c r="A12" t="s">
        <v>52</v>
      </c>
      <c r="B12" s="13">
        <v>0.22</v>
      </c>
      <c r="C12" s="13">
        <v>0.11</v>
      </c>
      <c r="D12" s="13">
        <v>0.15</v>
      </c>
      <c r="E12" s="13">
        <v>0.1</v>
      </c>
    </row>
    <row r="13" spans="1:5" x14ac:dyDescent="0.3">
      <c r="A13" t="s">
        <v>53</v>
      </c>
      <c r="B13" s="13">
        <v>0.22</v>
      </c>
      <c r="C13" s="13">
        <v>0.44</v>
      </c>
      <c r="D13" s="13">
        <v>0.08</v>
      </c>
      <c r="E13" s="13">
        <v>0.1</v>
      </c>
    </row>
    <row r="14" spans="1:5" x14ac:dyDescent="0.3">
      <c r="A14" t="s">
        <v>54</v>
      </c>
      <c r="B14" s="13">
        <v>0.22</v>
      </c>
      <c r="C14" s="13">
        <v>0.88</v>
      </c>
      <c r="D14" s="13">
        <v>0.08</v>
      </c>
      <c r="E14" s="13">
        <v>0.1</v>
      </c>
    </row>
    <row r="15" spans="1:5" x14ac:dyDescent="0.3">
      <c r="A15" t="s">
        <v>55</v>
      </c>
      <c r="B15" s="13">
        <v>0.22</v>
      </c>
      <c r="C15" s="13">
        <v>1.32</v>
      </c>
      <c r="D15" s="13">
        <v>0.08</v>
      </c>
      <c r="E15" s="13">
        <v>0.1</v>
      </c>
    </row>
    <row r="16" spans="1:5" x14ac:dyDescent="0.3">
      <c r="A16" t="s">
        <v>56</v>
      </c>
      <c r="B16" s="13">
        <v>0.22</v>
      </c>
      <c r="C16" s="13">
        <v>0.22</v>
      </c>
      <c r="D16" s="13">
        <v>0.08</v>
      </c>
      <c r="E16" s="13">
        <v>0.1</v>
      </c>
    </row>
    <row r="17" spans="1:5" x14ac:dyDescent="0.3">
      <c r="A17" t="s">
        <v>57</v>
      </c>
      <c r="B17" s="13">
        <v>0.11</v>
      </c>
      <c r="C17" s="13">
        <v>0.22</v>
      </c>
      <c r="D17" s="13">
        <v>0.08</v>
      </c>
      <c r="E17" s="13">
        <v>0.1</v>
      </c>
    </row>
    <row r="18" spans="1:5" x14ac:dyDescent="0.3">
      <c r="A18" t="s">
        <v>58</v>
      </c>
      <c r="B18" s="13">
        <v>0.22</v>
      </c>
      <c r="C18" s="13">
        <v>0.22</v>
      </c>
      <c r="D18" s="13">
        <v>0.08</v>
      </c>
      <c r="E18" s="13">
        <v>0.1</v>
      </c>
    </row>
    <row r="19" spans="1:5" x14ac:dyDescent="0.3">
      <c r="A19" t="s">
        <v>59</v>
      </c>
      <c r="B19" s="13">
        <v>0.22</v>
      </c>
      <c r="C19" s="13">
        <v>0.22</v>
      </c>
      <c r="D19" s="13">
        <v>0.08</v>
      </c>
      <c r="E19" s="13">
        <v>0.1</v>
      </c>
    </row>
    <row r="20" spans="1:5" x14ac:dyDescent="0.3">
      <c r="A20" t="s">
        <v>60</v>
      </c>
      <c r="B20" s="13">
        <v>0.4</v>
      </c>
      <c r="C20" s="13">
        <v>0.4</v>
      </c>
      <c r="D20" s="13">
        <v>0.08</v>
      </c>
      <c r="E20" s="13">
        <v>0.1</v>
      </c>
    </row>
    <row r="21" spans="1:5" x14ac:dyDescent="0.3">
      <c r="A21" t="s">
        <v>61</v>
      </c>
      <c r="B21" s="13">
        <v>0.5</v>
      </c>
      <c r="C21" s="13">
        <v>0.5</v>
      </c>
      <c r="D21" s="13">
        <v>0.08</v>
      </c>
      <c r="E21" s="13">
        <v>0.1</v>
      </c>
    </row>
    <row r="22" spans="1:5" x14ac:dyDescent="0.3">
      <c r="A22" t="s">
        <v>62</v>
      </c>
      <c r="B22" s="13">
        <v>0.25</v>
      </c>
      <c r="C22" s="13">
        <v>0.25</v>
      </c>
      <c r="D22" s="13">
        <v>0.08</v>
      </c>
      <c r="E22" s="13">
        <v>0.1</v>
      </c>
    </row>
    <row r="23" spans="1:5" x14ac:dyDescent="0.3">
      <c r="A23" t="s">
        <v>63</v>
      </c>
      <c r="B23" s="13">
        <v>0.36</v>
      </c>
      <c r="C23" s="13">
        <v>0.36</v>
      </c>
      <c r="D23" s="13">
        <v>0.13</v>
      </c>
      <c r="E23" s="13">
        <v>0.1</v>
      </c>
    </row>
    <row r="24" spans="1:5" x14ac:dyDescent="0.3">
      <c r="A24" t="s">
        <v>64</v>
      </c>
      <c r="B24" s="13">
        <v>0.22</v>
      </c>
      <c r="C24" s="13">
        <v>0.44</v>
      </c>
      <c r="D24" s="13">
        <v>0.08</v>
      </c>
      <c r="E24" s="13">
        <v>1</v>
      </c>
    </row>
    <row r="25" spans="1:5" x14ac:dyDescent="0.3">
      <c r="A25" t="s">
        <v>65</v>
      </c>
      <c r="B25" s="13">
        <v>0.22</v>
      </c>
      <c r="C25" s="13">
        <v>0.88</v>
      </c>
      <c r="D25" s="13">
        <v>0.08</v>
      </c>
      <c r="E25" s="13">
        <v>1</v>
      </c>
    </row>
    <row r="26" spans="1:5" x14ac:dyDescent="0.3">
      <c r="A26" t="s">
        <v>66</v>
      </c>
      <c r="B26" s="13">
        <v>0.22</v>
      </c>
      <c r="C26" s="13">
        <v>1.32</v>
      </c>
      <c r="D26" s="13">
        <v>0.08</v>
      </c>
      <c r="E26" s="13">
        <v>1</v>
      </c>
    </row>
    <row r="27" spans="1:5" x14ac:dyDescent="0.3">
      <c r="A27" t="s">
        <v>67</v>
      </c>
      <c r="B27" s="13">
        <v>0.22</v>
      </c>
      <c r="C27" s="13">
        <v>0.22</v>
      </c>
      <c r="D27" s="13">
        <v>0.08</v>
      </c>
      <c r="E27" s="13">
        <v>1</v>
      </c>
    </row>
    <row r="28" spans="1:5" x14ac:dyDescent="0.3">
      <c r="A28" t="s">
        <v>68</v>
      </c>
      <c r="B28" s="13">
        <v>7.0000000000000007E-2</v>
      </c>
      <c r="C28" s="13">
        <v>7.0000000000000007E-2</v>
      </c>
      <c r="D28" s="13">
        <v>0.15</v>
      </c>
      <c r="E28" s="13">
        <v>1</v>
      </c>
    </row>
    <row r="29" spans="1:5" x14ac:dyDescent="0.3">
      <c r="A29" t="s">
        <v>69</v>
      </c>
      <c r="B29" s="13">
        <v>7.0000000000000007E-2</v>
      </c>
      <c r="C29" s="13">
        <v>7.0000000000000007E-2</v>
      </c>
      <c r="D29" s="13">
        <v>0.1</v>
      </c>
      <c r="E29" s="13">
        <v>1</v>
      </c>
    </row>
    <row r="30" spans="1:5" x14ac:dyDescent="0.3">
      <c r="A30" t="s">
        <v>70</v>
      </c>
      <c r="B30" s="13">
        <v>0.15</v>
      </c>
      <c r="C30" s="13">
        <v>0.2</v>
      </c>
      <c r="D30" s="13">
        <v>0.06</v>
      </c>
      <c r="E30" s="13">
        <v>1</v>
      </c>
    </row>
    <row r="31" spans="1:5" x14ac:dyDescent="0.3">
      <c r="A31" t="s">
        <v>71</v>
      </c>
      <c r="B31" s="13">
        <v>0.06</v>
      </c>
      <c r="C31" s="13">
        <v>0.08</v>
      </c>
      <c r="D31" s="13">
        <v>0.22</v>
      </c>
      <c r="E31" s="13">
        <v>1</v>
      </c>
    </row>
    <row r="32" spans="1:5" x14ac:dyDescent="0.3">
      <c r="A32" t="s">
        <v>72</v>
      </c>
      <c r="B32" s="13">
        <v>0.08</v>
      </c>
      <c r="C32" s="13">
        <v>0.08</v>
      </c>
      <c r="D32" s="13">
        <v>0.15</v>
      </c>
      <c r="E32" s="13">
        <v>1</v>
      </c>
    </row>
    <row r="33" spans="1:30" x14ac:dyDescent="0.3">
      <c r="A33" t="s">
        <v>73</v>
      </c>
      <c r="B33" s="13">
        <v>0.08</v>
      </c>
      <c r="C33" s="13">
        <v>0.08</v>
      </c>
      <c r="D33" s="13">
        <v>7.0000000000000007E-2</v>
      </c>
      <c r="E33" s="13">
        <v>1</v>
      </c>
    </row>
    <row r="34" spans="1:30" x14ac:dyDescent="0.3">
      <c r="A34" t="s">
        <v>74</v>
      </c>
      <c r="B34" s="13">
        <v>0.1</v>
      </c>
      <c r="C34" s="13">
        <v>0.12</v>
      </c>
      <c r="D34" s="13">
        <v>0.05</v>
      </c>
      <c r="E34" s="13">
        <v>1</v>
      </c>
    </row>
    <row r="35" spans="1:30" x14ac:dyDescent="0.3">
      <c r="A35" t="s">
        <v>75</v>
      </c>
      <c r="B35" s="13">
        <v>0.3</v>
      </c>
      <c r="C35" s="13">
        <v>0.3</v>
      </c>
      <c r="D35" s="13">
        <v>0.04</v>
      </c>
      <c r="E35" s="13">
        <v>1</v>
      </c>
    </row>
    <row r="36" spans="1:30" x14ac:dyDescent="0.3">
      <c r="A36" t="s">
        <v>76</v>
      </c>
      <c r="B36" s="13">
        <v>0.3</v>
      </c>
      <c r="C36" s="13">
        <v>0.3</v>
      </c>
      <c r="D36" s="13">
        <v>7.0000000000000007E-2</v>
      </c>
      <c r="E36" s="13">
        <v>1</v>
      </c>
    </row>
    <row r="37" spans="1:30" x14ac:dyDescent="0.3">
      <c r="A37" t="s">
        <v>77</v>
      </c>
      <c r="B37" s="13">
        <v>0.3</v>
      </c>
      <c r="C37" s="13">
        <v>0.3</v>
      </c>
      <c r="D37" s="13">
        <v>0.1</v>
      </c>
      <c r="E37" s="13">
        <v>1</v>
      </c>
    </row>
    <row r="39" spans="1:30" x14ac:dyDescent="0.3">
      <c r="A39" t="s">
        <v>78</v>
      </c>
    </row>
    <row r="40" spans="1:30" x14ac:dyDescent="0.3">
      <c r="A40" t="s">
        <v>79</v>
      </c>
      <c r="B40" s="13" t="s">
        <v>49</v>
      </c>
      <c r="C40" s="13" t="s">
        <v>50</v>
      </c>
      <c r="D40" s="13" t="s">
        <v>51</v>
      </c>
      <c r="E40" s="13" t="s">
        <v>52</v>
      </c>
      <c r="F40" t="s">
        <v>53</v>
      </c>
      <c r="G40" t="s">
        <v>54</v>
      </c>
      <c r="H40" t="s">
        <v>55</v>
      </c>
      <c r="I40" t="s">
        <v>56</v>
      </c>
      <c r="J40" t="s">
        <v>57</v>
      </c>
      <c r="K40" t="s">
        <v>58</v>
      </c>
      <c r="L40" t="s">
        <v>59</v>
      </c>
      <c r="M40" t="s">
        <v>60</v>
      </c>
      <c r="N40" t="s">
        <v>61</v>
      </c>
      <c r="O40" t="s">
        <v>62</v>
      </c>
      <c r="P40" t="s">
        <v>63</v>
      </c>
      <c r="Q40" t="s">
        <v>64</v>
      </c>
      <c r="R40" t="s">
        <v>65</v>
      </c>
      <c r="S40" t="s">
        <v>66</v>
      </c>
      <c r="T40" t="s">
        <v>67</v>
      </c>
      <c r="U40" t="s">
        <v>68</v>
      </c>
      <c r="V40" t="s">
        <v>69</v>
      </c>
      <c r="W40" t="s">
        <v>70</v>
      </c>
      <c r="X40" t="s">
        <v>71</v>
      </c>
      <c r="Y40" t="s">
        <v>72</v>
      </c>
      <c r="Z40" t="s">
        <v>73</v>
      </c>
      <c r="AA40" t="s">
        <v>74</v>
      </c>
      <c r="AB40" t="s">
        <v>75</v>
      </c>
      <c r="AC40" t="s">
        <v>76</v>
      </c>
      <c r="AD40" t="s">
        <v>77</v>
      </c>
    </row>
    <row r="41" spans="1:30" x14ac:dyDescent="0.3">
      <c r="A41" t="s">
        <v>45</v>
      </c>
      <c r="B41" s="13">
        <v>1</v>
      </c>
      <c r="C41" s="13">
        <v>6</v>
      </c>
      <c r="D41" s="13">
        <v>8</v>
      </c>
      <c r="E41" s="13">
        <v>2</v>
      </c>
      <c r="F41">
        <v>1</v>
      </c>
      <c r="G41">
        <v>2</v>
      </c>
      <c r="H41" t="s">
        <v>20</v>
      </c>
      <c r="I41">
        <v>7</v>
      </c>
      <c r="J41" t="s">
        <v>20</v>
      </c>
      <c r="K41">
        <v>8</v>
      </c>
      <c r="L41">
        <v>3</v>
      </c>
      <c r="M41" t="s">
        <v>20</v>
      </c>
      <c r="N41">
        <v>2</v>
      </c>
      <c r="O41" t="s">
        <v>20</v>
      </c>
      <c r="P41" t="s">
        <v>20</v>
      </c>
      <c r="Q41">
        <v>8</v>
      </c>
      <c r="R41">
        <v>2</v>
      </c>
      <c r="S41">
        <v>2</v>
      </c>
      <c r="T41">
        <v>3</v>
      </c>
      <c r="U41" t="s">
        <v>20</v>
      </c>
      <c r="V41">
        <v>1</v>
      </c>
      <c r="W41">
        <v>28</v>
      </c>
      <c r="X41">
        <v>3</v>
      </c>
      <c r="Y41">
        <v>6</v>
      </c>
      <c r="Z41">
        <v>2</v>
      </c>
      <c r="AA41">
        <v>4</v>
      </c>
      <c r="AB41" t="s">
        <v>20</v>
      </c>
      <c r="AC41">
        <v>2</v>
      </c>
      <c r="AD41" t="s">
        <v>20</v>
      </c>
    </row>
    <row r="42" spans="1:30" x14ac:dyDescent="0.3">
      <c r="A42" t="s">
        <v>46</v>
      </c>
      <c r="B42" s="13">
        <v>2</v>
      </c>
      <c r="C42" s="13">
        <v>6</v>
      </c>
      <c r="D42" s="13">
        <v>8</v>
      </c>
      <c r="E42" s="13">
        <v>2</v>
      </c>
      <c r="F42">
        <v>3</v>
      </c>
      <c r="G42">
        <v>4</v>
      </c>
      <c r="H42" t="s">
        <v>20</v>
      </c>
      <c r="I42" t="s">
        <v>20</v>
      </c>
      <c r="J42">
        <v>2</v>
      </c>
      <c r="K42" t="s">
        <v>20</v>
      </c>
      <c r="L42" t="s">
        <v>20</v>
      </c>
      <c r="M42" t="s">
        <v>20</v>
      </c>
      <c r="N42" t="s">
        <v>20</v>
      </c>
      <c r="O42">
        <v>4</v>
      </c>
      <c r="P42" t="s">
        <v>20</v>
      </c>
      <c r="Q42">
        <v>5</v>
      </c>
      <c r="R42" t="s">
        <v>20</v>
      </c>
      <c r="S42" t="s">
        <v>20</v>
      </c>
      <c r="T42">
        <v>4</v>
      </c>
      <c r="U42" t="s">
        <v>20</v>
      </c>
      <c r="V42" t="s">
        <v>20</v>
      </c>
      <c r="W42">
        <v>32</v>
      </c>
      <c r="X42">
        <v>4</v>
      </c>
      <c r="Y42">
        <v>4</v>
      </c>
      <c r="Z42" t="s">
        <v>20</v>
      </c>
      <c r="AA42">
        <v>4</v>
      </c>
      <c r="AB42" t="s">
        <v>20</v>
      </c>
      <c r="AC42" t="s">
        <v>20</v>
      </c>
      <c r="AD42">
        <v>2</v>
      </c>
    </row>
    <row r="43" spans="1:30" x14ac:dyDescent="0.3">
      <c r="A43" t="s">
        <v>47</v>
      </c>
      <c r="B43" s="13">
        <v>2</v>
      </c>
      <c r="C43" s="13">
        <v>6</v>
      </c>
      <c r="D43" s="13">
        <v>8</v>
      </c>
      <c r="E43" s="13">
        <v>2</v>
      </c>
      <c r="F43">
        <v>3</v>
      </c>
      <c r="G43">
        <v>3</v>
      </c>
      <c r="H43">
        <v>3</v>
      </c>
      <c r="I43">
        <v>3</v>
      </c>
      <c r="J43">
        <v>2</v>
      </c>
      <c r="K43">
        <v>2</v>
      </c>
      <c r="L43">
        <v>2</v>
      </c>
      <c r="M43" t="s">
        <v>20</v>
      </c>
      <c r="N43" t="s">
        <v>20</v>
      </c>
      <c r="O43">
        <v>4</v>
      </c>
      <c r="P43" t="s">
        <v>20</v>
      </c>
      <c r="Q43">
        <v>3</v>
      </c>
      <c r="R43" t="s">
        <v>20</v>
      </c>
      <c r="S43" t="s">
        <v>20</v>
      </c>
      <c r="T43">
        <v>4</v>
      </c>
      <c r="U43" t="s">
        <v>20</v>
      </c>
      <c r="V43">
        <v>2</v>
      </c>
      <c r="W43">
        <v>40</v>
      </c>
      <c r="X43" t="s">
        <v>20</v>
      </c>
      <c r="Y43" t="s">
        <v>20</v>
      </c>
      <c r="Z43">
        <v>4</v>
      </c>
      <c r="AA43">
        <v>4</v>
      </c>
      <c r="AB43" t="s">
        <v>20</v>
      </c>
      <c r="AC43" t="s">
        <v>20</v>
      </c>
      <c r="AD43">
        <v>2</v>
      </c>
    </row>
    <row r="45" spans="1:30" x14ac:dyDescent="0.3">
      <c r="A45" t="s">
        <v>80</v>
      </c>
    </row>
    <row r="46" spans="1:30" x14ac:dyDescent="0.3">
      <c r="A46" t="s">
        <v>81</v>
      </c>
      <c r="B46" s="13" t="s">
        <v>45</v>
      </c>
      <c r="C46" s="13" t="s">
        <v>46</v>
      </c>
      <c r="D46" s="13" t="s">
        <v>47</v>
      </c>
    </row>
    <row r="47" spans="1:30" x14ac:dyDescent="0.3">
      <c r="A47" t="s">
        <v>45</v>
      </c>
      <c r="B47" s="13" t="s">
        <v>20</v>
      </c>
      <c r="C47" s="13" t="s">
        <v>20</v>
      </c>
      <c r="D47" s="13" t="s">
        <v>20</v>
      </c>
    </row>
    <row r="48" spans="1:30" x14ac:dyDescent="0.3">
      <c r="A48" t="s">
        <v>46</v>
      </c>
      <c r="B48" s="13" t="s">
        <v>20</v>
      </c>
      <c r="C48" s="13" t="s">
        <v>20</v>
      </c>
      <c r="D48" s="13" t="s">
        <v>20</v>
      </c>
    </row>
    <row r="49" spans="1:4" x14ac:dyDescent="0.3">
      <c r="A49" t="s">
        <v>47</v>
      </c>
      <c r="B49" s="13" t="s">
        <v>20</v>
      </c>
      <c r="C49" s="13" t="s">
        <v>20</v>
      </c>
      <c r="D49" s="13" t="s">
        <v>20</v>
      </c>
    </row>
  </sheetData>
  <pageMargins left="0.7" right="0.7" top="0.75" bottom="0.75" header="0.3" footer="0.3"/>
  <pageSetup orientation="portrait" r:id="rId1"/>
  <ignoredErrors>
    <ignoredError sqref="A1:AD39 A41:AD49 A40:O40 Q40:AD4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16"/>
  <sheetViews>
    <sheetView zoomScale="80" zoomScaleNormal="80" workbookViewId="0"/>
  </sheetViews>
  <sheetFormatPr defaultColWidth="11.19921875" defaultRowHeight="15.6" x14ac:dyDescent="0.3"/>
  <cols>
    <col min="3" max="3" width="15.09765625" customWidth="1"/>
    <col min="8" max="8" width="16.5" customWidth="1"/>
    <col min="13" max="13" width="17.5" customWidth="1"/>
  </cols>
  <sheetData>
    <row r="1" spans="1:13" x14ac:dyDescent="0.3">
      <c r="A1" t="s">
        <v>23</v>
      </c>
      <c r="F1" t="s">
        <v>24</v>
      </c>
      <c r="K1" t="s">
        <v>25</v>
      </c>
    </row>
    <row r="2" spans="1:13" x14ac:dyDescent="0.3">
      <c r="A2" t="s">
        <v>82</v>
      </c>
      <c r="B2" t="s">
        <v>45</v>
      </c>
      <c r="C2" t="s">
        <v>46</v>
      </c>
      <c r="D2" t="s">
        <v>47</v>
      </c>
      <c r="F2" t="s">
        <v>82</v>
      </c>
      <c r="G2" t="s">
        <v>45</v>
      </c>
      <c r="H2" t="s">
        <v>46</v>
      </c>
      <c r="I2" t="s">
        <v>47</v>
      </c>
      <c r="K2" t="s">
        <v>82</v>
      </c>
      <c r="L2" t="s">
        <v>45</v>
      </c>
      <c r="M2" t="s">
        <v>46</v>
      </c>
    </row>
    <row r="3" spans="1:13" x14ac:dyDescent="0.3">
      <c r="A3">
        <v>1</v>
      </c>
      <c r="B3">
        <v>10</v>
      </c>
      <c r="C3">
        <v>8</v>
      </c>
      <c r="D3">
        <v>4</v>
      </c>
      <c r="F3">
        <v>1</v>
      </c>
      <c r="G3">
        <v>17</v>
      </c>
      <c r="H3">
        <v>4</v>
      </c>
      <c r="I3">
        <v>11</v>
      </c>
      <c r="K3">
        <v>1</v>
      </c>
      <c r="L3">
        <v>17</v>
      </c>
      <c r="M3">
        <v>6</v>
      </c>
    </row>
    <row r="4" spans="1:13" x14ac:dyDescent="0.3">
      <c r="A4">
        <v>2</v>
      </c>
      <c r="B4">
        <v>11</v>
      </c>
      <c r="C4">
        <v>5</v>
      </c>
      <c r="D4">
        <v>4</v>
      </c>
      <c r="F4">
        <v>2</v>
      </c>
      <c r="G4">
        <v>9</v>
      </c>
      <c r="H4">
        <v>9</v>
      </c>
      <c r="I4">
        <v>4</v>
      </c>
      <c r="K4">
        <v>2</v>
      </c>
      <c r="L4">
        <v>11</v>
      </c>
      <c r="M4">
        <v>10</v>
      </c>
    </row>
    <row r="5" spans="1:13" x14ac:dyDescent="0.3">
      <c r="A5">
        <v>3</v>
      </c>
      <c r="B5">
        <v>8</v>
      </c>
      <c r="C5">
        <v>7</v>
      </c>
      <c r="D5">
        <v>3</v>
      </c>
      <c r="F5">
        <v>3</v>
      </c>
      <c r="G5">
        <v>15</v>
      </c>
      <c r="H5">
        <v>8</v>
      </c>
      <c r="I5">
        <v>10</v>
      </c>
      <c r="K5">
        <v>3</v>
      </c>
      <c r="L5">
        <v>16</v>
      </c>
      <c r="M5">
        <v>12</v>
      </c>
    </row>
    <row r="6" spans="1:13" x14ac:dyDescent="0.3">
      <c r="A6">
        <v>4</v>
      </c>
      <c r="B6">
        <v>5</v>
      </c>
      <c r="C6">
        <v>2</v>
      </c>
      <c r="D6">
        <v>2</v>
      </c>
      <c r="F6">
        <v>4</v>
      </c>
      <c r="G6">
        <v>17</v>
      </c>
      <c r="H6">
        <v>9</v>
      </c>
      <c r="I6">
        <v>7</v>
      </c>
      <c r="K6">
        <v>4</v>
      </c>
      <c r="L6">
        <v>13</v>
      </c>
      <c r="M6">
        <v>8</v>
      </c>
    </row>
    <row r="7" spans="1:13" x14ac:dyDescent="0.3">
      <c r="A7">
        <v>5</v>
      </c>
      <c r="B7">
        <v>4</v>
      </c>
      <c r="C7">
        <v>0</v>
      </c>
      <c r="D7">
        <v>3</v>
      </c>
      <c r="F7">
        <v>5</v>
      </c>
      <c r="G7">
        <v>14</v>
      </c>
      <c r="H7">
        <v>6</v>
      </c>
      <c r="I7">
        <v>10</v>
      </c>
      <c r="K7">
        <v>5</v>
      </c>
      <c r="L7">
        <v>11</v>
      </c>
      <c r="M7">
        <v>7</v>
      </c>
    </row>
    <row r="8" spans="1:13" x14ac:dyDescent="0.3">
      <c r="A8">
        <v>6</v>
      </c>
      <c r="B8">
        <v>4</v>
      </c>
      <c r="C8">
        <v>2</v>
      </c>
      <c r="D8">
        <v>7</v>
      </c>
      <c r="F8">
        <v>6</v>
      </c>
      <c r="G8">
        <v>12</v>
      </c>
      <c r="H8">
        <v>5</v>
      </c>
      <c r="I8">
        <v>10</v>
      </c>
      <c r="K8">
        <v>6</v>
      </c>
      <c r="L8">
        <v>11</v>
      </c>
      <c r="M8">
        <v>10</v>
      </c>
    </row>
    <row r="9" spans="1:13" x14ac:dyDescent="0.3">
      <c r="A9">
        <v>7</v>
      </c>
      <c r="B9">
        <v>5</v>
      </c>
      <c r="C9">
        <v>9</v>
      </c>
      <c r="D9">
        <v>7</v>
      </c>
      <c r="F9">
        <v>7</v>
      </c>
      <c r="G9">
        <v>12</v>
      </c>
      <c r="H9">
        <v>6</v>
      </c>
      <c r="I9">
        <v>5</v>
      </c>
      <c r="K9">
        <v>7</v>
      </c>
      <c r="L9">
        <v>11</v>
      </c>
      <c r="M9">
        <v>10</v>
      </c>
    </row>
    <row r="10" spans="1:13" x14ac:dyDescent="0.3">
      <c r="A10">
        <v>8</v>
      </c>
      <c r="B10">
        <v>6</v>
      </c>
      <c r="C10">
        <v>7</v>
      </c>
      <c r="D10">
        <v>2</v>
      </c>
      <c r="F10">
        <v>8</v>
      </c>
      <c r="G10">
        <v>9</v>
      </c>
      <c r="H10">
        <v>4</v>
      </c>
      <c r="I10">
        <v>14</v>
      </c>
      <c r="K10">
        <v>8</v>
      </c>
      <c r="L10">
        <v>12</v>
      </c>
      <c r="M10">
        <v>8</v>
      </c>
    </row>
    <row r="11" spans="1:13" x14ac:dyDescent="0.3">
      <c r="A11">
        <v>9</v>
      </c>
      <c r="B11">
        <v>8</v>
      </c>
      <c r="C11">
        <v>7</v>
      </c>
      <c r="D11">
        <v>5</v>
      </c>
      <c r="F11">
        <v>9</v>
      </c>
      <c r="G11">
        <v>11</v>
      </c>
      <c r="H11">
        <v>8</v>
      </c>
      <c r="I11">
        <v>12</v>
      </c>
      <c r="K11">
        <v>9</v>
      </c>
      <c r="L11">
        <v>11</v>
      </c>
      <c r="M11">
        <v>8</v>
      </c>
    </row>
    <row r="12" spans="1:13" x14ac:dyDescent="0.3">
      <c r="A12">
        <v>10</v>
      </c>
      <c r="B12">
        <v>7</v>
      </c>
      <c r="C12">
        <v>8</v>
      </c>
      <c r="D12">
        <v>4</v>
      </c>
      <c r="F12">
        <v>10</v>
      </c>
      <c r="G12">
        <v>16</v>
      </c>
      <c r="H12">
        <v>7</v>
      </c>
      <c r="I12">
        <v>8</v>
      </c>
      <c r="K12">
        <v>10</v>
      </c>
      <c r="L12">
        <v>17</v>
      </c>
      <c r="M12">
        <v>10</v>
      </c>
    </row>
    <row r="13" spans="1:13" x14ac:dyDescent="0.3">
      <c r="A13">
        <v>11</v>
      </c>
      <c r="B13">
        <v>7</v>
      </c>
      <c r="C13">
        <v>12</v>
      </c>
      <c r="D13">
        <v>2</v>
      </c>
      <c r="F13">
        <v>11</v>
      </c>
      <c r="G13">
        <v>22</v>
      </c>
      <c r="H13">
        <v>8</v>
      </c>
      <c r="I13">
        <v>11</v>
      </c>
      <c r="K13">
        <v>11</v>
      </c>
      <c r="L13">
        <v>16</v>
      </c>
      <c r="M13">
        <v>9</v>
      </c>
    </row>
    <row r="14" spans="1:13" x14ac:dyDescent="0.3">
      <c r="A14">
        <v>12</v>
      </c>
      <c r="B14">
        <v>12</v>
      </c>
      <c r="C14">
        <v>0</v>
      </c>
      <c r="D14">
        <v>5</v>
      </c>
      <c r="F14">
        <v>12</v>
      </c>
      <c r="G14">
        <v>21</v>
      </c>
      <c r="H14">
        <v>9</v>
      </c>
      <c r="I14">
        <v>7</v>
      </c>
      <c r="K14">
        <v>12</v>
      </c>
      <c r="L14">
        <v>16</v>
      </c>
      <c r="M14">
        <v>12</v>
      </c>
    </row>
    <row r="15" spans="1:13" x14ac:dyDescent="0.3">
      <c r="A15">
        <v>13</v>
      </c>
      <c r="B15">
        <v>10</v>
      </c>
      <c r="C15">
        <v>5</v>
      </c>
      <c r="D15">
        <v>3</v>
      </c>
      <c r="F15">
        <v>13</v>
      </c>
      <c r="G15">
        <v>17</v>
      </c>
      <c r="H15">
        <v>6</v>
      </c>
      <c r="I15">
        <v>10</v>
      </c>
      <c r="K15">
        <v>13</v>
      </c>
      <c r="L15">
        <v>19</v>
      </c>
      <c r="M15">
        <v>10</v>
      </c>
    </row>
    <row r="16" spans="1:13" x14ac:dyDescent="0.3">
      <c r="A16">
        <v>14</v>
      </c>
      <c r="B16">
        <v>8</v>
      </c>
      <c r="C16">
        <v>8</v>
      </c>
      <c r="D16">
        <v>6</v>
      </c>
      <c r="F16">
        <v>14</v>
      </c>
      <c r="G16">
        <v>20</v>
      </c>
      <c r="H16">
        <v>9</v>
      </c>
      <c r="I16">
        <v>9</v>
      </c>
      <c r="K16">
        <v>14</v>
      </c>
      <c r="L16">
        <v>16</v>
      </c>
      <c r="M16">
        <v>9</v>
      </c>
    </row>
    <row r="17" spans="1:13" x14ac:dyDescent="0.3">
      <c r="A17">
        <v>15</v>
      </c>
      <c r="B17">
        <v>8</v>
      </c>
      <c r="C17">
        <v>5</v>
      </c>
      <c r="D17">
        <v>1</v>
      </c>
      <c r="F17">
        <v>15</v>
      </c>
      <c r="G17">
        <v>18</v>
      </c>
      <c r="H17">
        <v>9</v>
      </c>
      <c r="I17">
        <v>5</v>
      </c>
      <c r="K17">
        <v>15</v>
      </c>
      <c r="L17">
        <v>18</v>
      </c>
      <c r="M17">
        <v>10</v>
      </c>
    </row>
    <row r="18" spans="1:13" x14ac:dyDescent="0.3">
      <c r="A18">
        <v>16</v>
      </c>
      <c r="B18">
        <v>9</v>
      </c>
      <c r="C18">
        <v>5</v>
      </c>
      <c r="D18">
        <v>1</v>
      </c>
      <c r="F18">
        <v>16</v>
      </c>
      <c r="G18">
        <v>14</v>
      </c>
      <c r="H18">
        <v>7</v>
      </c>
      <c r="I18">
        <v>9</v>
      </c>
      <c r="K18">
        <v>16</v>
      </c>
      <c r="L18">
        <v>17</v>
      </c>
      <c r="M18">
        <v>13</v>
      </c>
    </row>
    <row r="19" spans="1:13" x14ac:dyDescent="0.3">
      <c r="A19">
        <v>17</v>
      </c>
      <c r="B19">
        <v>6</v>
      </c>
      <c r="C19">
        <v>11</v>
      </c>
      <c r="D19">
        <v>2</v>
      </c>
      <c r="F19">
        <v>17</v>
      </c>
      <c r="G19">
        <v>15</v>
      </c>
      <c r="H19">
        <v>10</v>
      </c>
      <c r="I19">
        <v>12</v>
      </c>
      <c r="K19">
        <v>17</v>
      </c>
      <c r="L19">
        <v>12</v>
      </c>
      <c r="M19">
        <v>4</v>
      </c>
    </row>
    <row r="20" spans="1:13" x14ac:dyDescent="0.3">
      <c r="A20">
        <v>18</v>
      </c>
      <c r="B20">
        <v>5</v>
      </c>
      <c r="C20">
        <v>5</v>
      </c>
      <c r="D20">
        <v>5</v>
      </c>
      <c r="F20">
        <v>18</v>
      </c>
      <c r="G20">
        <v>17</v>
      </c>
      <c r="H20">
        <v>10</v>
      </c>
      <c r="I20">
        <v>6</v>
      </c>
      <c r="K20">
        <v>18</v>
      </c>
      <c r="L20">
        <v>11</v>
      </c>
      <c r="M20">
        <v>5</v>
      </c>
    </row>
    <row r="21" spans="1:13" x14ac:dyDescent="0.3">
      <c r="A21">
        <v>19</v>
      </c>
      <c r="B21">
        <v>5</v>
      </c>
      <c r="C21">
        <v>6</v>
      </c>
      <c r="D21">
        <v>3</v>
      </c>
      <c r="F21">
        <v>19</v>
      </c>
      <c r="G21">
        <v>17</v>
      </c>
      <c r="H21">
        <v>5</v>
      </c>
      <c r="I21">
        <v>9</v>
      </c>
      <c r="K21">
        <v>19</v>
      </c>
      <c r="L21">
        <v>9</v>
      </c>
      <c r="M21">
        <v>7</v>
      </c>
    </row>
    <row r="22" spans="1:13" x14ac:dyDescent="0.3">
      <c r="A22">
        <v>20</v>
      </c>
      <c r="B22">
        <v>4</v>
      </c>
      <c r="C22">
        <v>9</v>
      </c>
      <c r="D22">
        <v>4</v>
      </c>
      <c r="F22">
        <v>20</v>
      </c>
      <c r="G22">
        <v>15</v>
      </c>
      <c r="H22">
        <v>4</v>
      </c>
      <c r="I22">
        <v>9</v>
      </c>
      <c r="K22">
        <v>20</v>
      </c>
      <c r="L22">
        <v>6</v>
      </c>
      <c r="M22">
        <v>8</v>
      </c>
    </row>
    <row r="23" spans="1:13" x14ac:dyDescent="0.3">
      <c r="A23">
        <v>21</v>
      </c>
      <c r="B23">
        <v>6</v>
      </c>
      <c r="C23">
        <v>6</v>
      </c>
      <c r="D23">
        <v>1</v>
      </c>
      <c r="F23">
        <v>21</v>
      </c>
      <c r="G23">
        <v>14</v>
      </c>
      <c r="H23">
        <v>10</v>
      </c>
      <c r="I23">
        <v>18</v>
      </c>
      <c r="K23">
        <v>21</v>
      </c>
      <c r="L23">
        <v>11</v>
      </c>
      <c r="M23">
        <v>11</v>
      </c>
    </row>
    <row r="24" spans="1:13" x14ac:dyDescent="0.3">
      <c r="A24">
        <v>22</v>
      </c>
      <c r="B24">
        <v>5</v>
      </c>
      <c r="C24">
        <v>1</v>
      </c>
      <c r="D24">
        <v>0</v>
      </c>
      <c r="F24">
        <v>22</v>
      </c>
      <c r="G24">
        <v>13</v>
      </c>
      <c r="H24">
        <v>10</v>
      </c>
      <c r="I24">
        <v>9</v>
      </c>
      <c r="K24">
        <v>22</v>
      </c>
      <c r="L24">
        <v>13</v>
      </c>
      <c r="M24">
        <v>13</v>
      </c>
    </row>
    <row r="25" spans="1:13" x14ac:dyDescent="0.3">
      <c r="A25">
        <v>23</v>
      </c>
      <c r="B25">
        <v>6</v>
      </c>
      <c r="C25">
        <v>4</v>
      </c>
      <c r="D25">
        <v>1</v>
      </c>
      <c r="F25">
        <v>23</v>
      </c>
      <c r="G25">
        <v>10</v>
      </c>
      <c r="H25">
        <v>12</v>
      </c>
      <c r="I25">
        <v>9</v>
      </c>
      <c r="K25">
        <v>23</v>
      </c>
      <c r="L25">
        <v>14</v>
      </c>
      <c r="M25">
        <v>4</v>
      </c>
    </row>
    <row r="26" spans="1:13" x14ac:dyDescent="0.3">
      <c r="A26">
        <v>24</v>
      </c>
      <c r="B26">
        <v>9</v>
      </c>
      <c r="C26">
        <v>1</v>
      </c>
      <c r="D26">
        <v>0</v>
      </c>
      <c r="F26">
        <v>24</v>
      </c>
      <c r="G26">
        <v>17</v>
      </c>
      <c r="H26">
        <v>8</v>
      </c>
      <c r="I26">
        <v>8</v>
      </c>
      <c r="K26">
        <v>24</v>
      </c>
      <c r="L26">
        <v>16</v>
      </c>
      <c r="M26">
        <v>10</v>
      </c>
    </row>
    <row r="27" spans="1:13" x14ac:dyDescent="0.3">
      <c r="A27">
        <v>25</v>
      </c>
      <c r="B27">
        <v>10</v>
      </c>
      <c r="C27">
        <v>7</v>
      </c>
      <c r="D27">
        <v>4</v>
      </c>
      <c r="F27">
        <v>25</v>
      </c>
      <c r="G27">
        <v>20</v>
      </c>
      <c r="H27">
        <v>4</v>
      </c>
      <c r="I27">
        <v>7</v>
      </c>
      <c r="K27">
        <v>25</v>
      </c>
      <c r="L27">
        <v>17</v>
      </c>
      <c r="M27">
        <v>13</v>
      </c>
    </row>
    <row r="28" spans="1:13" x14ac:dyDescent="0.3">
      <c r="A28">
        <v>26</v>
      </c>
      <c r="B28">
        <v>8</v>
      </c>
      <c r="C28">
        <v>8</v>
      </c>
      <c r="D28">
        <v>2</v>
      </c>
      <c r="F28">
        <v>26</v>
      </c>
      <c r="G28">
        <v>19</v>
      </c>
      <c r="H28">
        <v>4</v>
      </c>
      <c r="I28">
        <v>14</v>
      </c>
      <c r="K28">
        <v>26</v>
      </c>
      <c r="L28">
        <v>15</v>
      </c>
      <c r="M28">
        <v>11</v>
      </c>
    </row>
    <row r="29" spans="1:13" x14ac:dyDescent="0.3">
      <c r="A29">
        <v>27</v>
      </c>
      <c r="B29">
        <v>8</v>
      </c>
      <c r="C29">
        <v>5</v>
      </c>
      <c r="D29">
        <v>1</v>
      </c>
      <c r="F29">
        <v>27</v>
      </c>
      <c r="G29">
        <v>16</v>
      </c>
      <c r="H29">
        <v>11</v>
      </c>
      <c r="I29">
        <v>11</v>
      </c>
      <c r="K29">
        <v>27</v>
      </c>
      <c r="L29">
        <v>20</v>
      </c>
      <c r="M29">
        <v>9</v>
      </c>
    </row>
    <row r="30" spans="1:13" x14ac:dyDescent="0.3">
      <c r="A30">
        <v>28</v>
      </c>
      <c r="B30">
        <v>10</v>
      </c>
      <c r="C30">
        <v>6</v>
      </c>
      <c r="D30">
        <v>2</v>
      </c>
      <c r="F30">
        <v>28</v>
      </c>
      <c r="G30">
        <v>15</v>
      </c>
      <c r="H30">
        <v>8</v>
      </c>
      <c r="I30">
        <v>13</v>
      </c>
      <c r="K30">
        <v>28</v>
      </c>
      <c r="L30">
        <v>16</v>
      </c>
      <c r="M30">
        <v>17</v>
      </c>
    </row>
    <row r="31" spans="1:13" x14ac:dyDescent="0.3">
      <c r="A31">
        <v>29</v>
      </c>
      <c r="B31">
        <v>9</v>
      </c>
      <c r="C31">
        <v>6</v>
      </c>
      <c r="D31">
        <v>3</v>
      </c>
      <c r="F31">
        <v>29</v>
      </c>
      <c r="G31">
        <v>13</v>
      </c>
      <c r="H31">
        <v>7</v>
      </c>
      <c r="I31">
        <v>10</v>
      </c>
      <c r="K31">
        <v>29</v>
      </c>
      <c r="L31">
        <v>17</v>
      </c>
      <c r="M31">
        <v>7</v>
      </c>
    </row>
    <row r="32" spans="1:13" x14ac:dyDescent="0.3">
      <c r="A32">
        <v>30</v>
      </c>
      <c r="B32">
        <v>9</v>
      </c>
      <c r="C32">
        <v>3</v>
      </c>
      <c r="D32">
        <v>2</v>
      </c>
      <c r="F32">
        <v>30</v>
      </c>
      <c r="G32">
        <v>17</v>
      </c>
      <c r="H32">
        <v>8</v>
      </c>
      <c r="I32">
        <v>11</v>
      </c>
      <c r="K32">
        <v>30</v>
      </c>
      <c r="L32">
        <v>11</v>
      </c>
      <c r="M32">
        <v>9</v>
      </c>
    </row>
    <row r="33" spans="1:13" x14ac:dyDescent="0.3">
      <c r="A33">
        <v>31</v>
      </c>
      <c r="B33">
        <v>7</v>
      </c>
      <c r="C33">
        <v>3</v>
      </c>
      <c r="D33">
        <v>5</v>
      </c>
      <c r="F33">
        <v>31</v>
      </c>
      <c r="G33">
        <v>16</v>
      </c>
      <c r="H33">
        <v>11</v>
      </c>
      <c r="I33">
        <v>4</v>
      </c>
      <c r="K33">
        <v>31</v>
      </c>
      <c r="L33">
        <v>15</v>
      </c>
      <c r="M33">
        <v>12</v>
      </c>
    </row>
    <row r="34" spans="1:13" x14ac:dyDescent="0.3">
      <c r="A34">
        <v>32</v>
      </c>
      <c r="B34">
        <v>4</v>
      </c>
      <c r="C34">
        <v>10</v>
      </c>
      <c r="D34">
        <v>3</v>
      </c>
      <c r="F34">
        <v>32</v>
      </c>
      <c r="G34">
        <v>5</v>
      </c>
      <c r="H34">
        <v>5</v>
      </c>
      <c r="I34">
        <v>9</v>
      </c>
      <c r="K34">
        <v>32</v>
      </c>
      <c r="L34">
        <v>9</v>
      </c>
      <c r="M34">
        <v>10</v>
      </c>
    </row>
    <row r="35" spans="1:13" x14ac:dyDescent="0.3">
      <c r="A35">
        <v>33</v>
      </c>
      <c r="B35">
        <v>7</v>
      </c>
      <c r="C35">
        <v>0</v>
      </c>
      <c r="D35">
        <v>2</v>
      </c>
      <c r="F35">
        <v>33</v>
      </c>
      <c r="G35">
        <v>10</v>
      </c>
      <c r="H35">
        <v>8</v>
      </c>
      <c r="I35">
        <v>7</v>
      </c>
      <c r="K35">
        <v>33</v>
      </c>
      <c r="L35">
        <v>10</v>
      </c>
      <c r="M35">
        <v>9</v>
      </c>
    </row>
    <row r="36" spans="1:13" x14ac:dyDescent="0.3">
      <c r="A36">
        <v>34</v>
      </c>
      <c r="B36">
        <v>7</v>
      </c>
      <c r="C36">
        <v>9</v>
      </c>
      <c r="D36">
        <v>3</v>
      </c>
      <c r="F36">
        <v>34</v>
      </c>
      <c r="G36">
        <v>9</v>
      </c>
      <c r="H36">
        <v>6</v>
      </c>
      <c r="I36">
        <v>11</v>
      </c>
      <c r="K36">
        <v>34</v>
      </c>
      <c r="L36">
        <v>16</v>
      </c>
      <c r="M36">
        <v>10</v>
      </c>
    </row>
    <row r="37" spans="1:13" x14ac:dyDescent="0.3">
      <c r="A37">
        <v>35</v>
      </c>
      <c r="B37">
        <v>5</v>
      </c>
      <c r="C37">
        <v>11</v>
      </c>
      <c r="D37">
        <v>4</v>
      </c>
      <c r="F37">
        <v>35</v>
      </c>
      <c r="G37">
        <v>10</v>
      </c>
      <c r="H37">
        <v>7</v>
      </c>
      <c r="I37">
        <v>8</v>
      </c>
      <c r="K37">
        <v>35</v>
      </c>
      <c r="L37">
        <v>13</v>
      </c>
      <c r="M37">
        <v>15</v>
      </c>
    </row>
    <row r="38" spans="1:13" x14ac:dyDescent="0.3">
      <c r="A38">
        <v>36</v>
      </c>
      <c r="B38">
        <v>9</v>
      </c>
      <c r="C38">
        <v>5</v>
      </c>
      <c r="D38">
        <v>4</v>
      </c>
      <c r="F38">
        <v>36</v>
      </c>
      <c r="G38">
        <v>18</v>
      </c>
      <c r="H38">
        <v>11</v>
      </c>
      <c r="I38">
        <v>7</v>
      </c>
      <c r="K38">
        <v>36</v>
      </c>
      <c r="L38">
        <v>13</v>
      </c>
      <c r="M38">
        <v>14</v>
      </c>
    </row>
    <row r="39" spans="1:13" x14ac:dyDescent="0.3">
      <c r="A39">
        <v>37</v>
      </c>
      <c r="B39">
        <v>6</v>
      </c>
      <c r="C39">
        <v>5</v>
      </c>
      <c r="D39">
        <v>5</v>
      </c>
      <c r="F39">
        <v>37</v>
      </c>
      <c r="G39">
        <v>12</v>
      </c>
      <c r="H39">
        <v>7</v>
      </c>
      <c r="I39">
        <v>6</v>
      </c>
      <c r="K39">
        <v>37</v>
      </c>
      <c r="L39">
        <v>16</v>
      </c>
      <c r="M39">
        <v>6</v>
      </c>
    </row>
    <row r="40" spans="1:13" x14ac:dyDescent="0.3">
      <c r="A40">
        <v>38</v>
      </c>
      <c r="B40">
        <v>12</v>
      </c>
      <c r="C40">
        <v>12</v>
      </c>
      <c r="D40">
        <v>0</v>
      </c>
      <c r="F40">
        <v>38</v>
      </c>
      <c r="G40">
        <v>22</v>
      </c>
      <c r="H40">
        <v>7</v>
      </c>
      <c r="I40">
        <v>10</v>
      </c>
      <c r="K40">
        <v>38</v>
      </c>
      <c r="L40">
        <v>18</v>
      </c>
      <c r="M40">
        <v>10</v>
      </c>
    </row>
    <row r="41" spans="1:13" x14ac:dyDescent="0.3">
      <c r="A41">
        <v>39</v>
      </c>
      <c r="B41">
        <v>14</v>
      </c>
      <c r="C41">
        <v>8</v>
      </c>
      <c r="D41">
        <v>2</v>
      </c>
      <c r="F41">
        <v>39</v>
      </c>
      <c r="G41">
        <v>17</v>
      </c>
      <c r="H41">
        <v>4</v>
      </c>
      <c r="I41">
        <v>13</v>
      </c>
      <c r="K41">
        <v>39</v>
      </c>
      <c r="L41">
        <v>17</v>
      </c>
      <c r="M41">
        <v>10</v>
      </c>
    </row>
    <row r="42" spans="1:13" x14ac:dyDescent="0.3">
      <c r="A42">
        <v>40</v>
      </c>
      <c r="B42">
        <v>10</v>
      </c>
      <c r="C42">
        <v>1</v>
      </c>
      <c r="D42">
        <v>5</v>
      </c>
      <c r="F42">
        <v>40</v>
      </c>
      <c r="G42">
        <v>16</v>
      </c>
      <c r="H42">
        <v>7</v>
      </c>
      <c r="I42">
        <v>6</v>
      </c>
      <c r="K42">
        <v>40</v>
      </c>
      <c r="L42">
        <v>15</v>
      </c>
      <c r="M42">
        <v>7</v>
      </c>
    </row>
    <row r="43" spans="1:13" x14ac:dyDescent="0.3">
      <c r="A43">
        <v>41</v>
      </c>
      <c r="B43">
        <v>8</v>
      </c>
      <c r="C43">
        <v>0</v>
      </c>
      <c r="D43">
        <v>7</v>
      </c>
      <c r="F43">
        <v>41</v>
      </c>
      <c r="G43">
        <v>22</v>
      </c>
      <c r="H43">
        <v>9</v>
      </c>
      <c r="I43">
        <v>10</v>
      </c>
      <c r="K43">
        <v>41</v>
      </c>
      <c r="L43">
        <v>15</v>
      </c>
      <c r="M43">
        <v>12</v>
      </c>
    </row>
    <row r="44" spans="1:13" x14ac:dyDescent="0.3">
      <c r="A44">
        <v>42</v>
      </c>
      <c r="B44">
        <v>9</v>
      </c>
      <c r="C44">
        <v>8</v>
      </c>
      <c r="D44">
        <v>4</v>
      </c>
      <c r="F44">
        <v>42</v>
      </c>
      <c r="G44">
        <v>13</v>
      </c>
      <c r="H44">
        <v>12</v>
      </c>
      <c r="I44">
        <v>11</v>
      </c>
      <c r="K44">
        <v>42</v>
      </c>
      <c r="L44">
        <v>14</v>
      </c>
      <c r="M44">
        <v>5</v>
      </c>
    </row>
    <row r="45" spans="1:13" x14ac:dyDescent="0.3">
      <c r="A45">
        <v>43</v>
      </c>
      <c r="B45">
        <v>7</v>
      </c>
      <c r="C45">
        <v>3</v>
      </c>
      <c r="D45">
        <v>3</v>
      </c>
      <c r="F45">
        <v>43</v>
      </c>
      <c r="G45">
        <v>16</v>
      </c>
      <c r="H45">
        <v>4</v>
      </c>
      <c r="I45">
        <v>16</v>
      </c>
      <c r="K45">
        <v>43</v>
      </c>
      <c r="L45">
        <v>11</v>
      </c>
      <c r="M45">
        <v>7</v>
      </c>
    </row>
    <row r="46" spans="1:13" x14ac:dyDescent="0.3">
      <c r="A46">
        <v>44</v>
      </c>
      <c r="B46">
        <v>6</v>
      </c>
      <c r="C46">
        <v>6</v>
      </c>
      <c r="D46">
        <v>2</v>
      </c>
      <c r="F46">
        <v>44</v>
      </c>
      <c r="G46">
        <v>22</v>
      </c>
      <c r="H46">
        <v>10</v>
      </c>
      <c r="I46">
        <v>5</v>
      </c>
      <c r="K46">
        <v>44</v>
      </c>
      <c r="L46">
        <v>15</v>
      </c>
      <c r="M46">
        <v>9</v>
      </c>
    </row>
    <row r="47" spans="1:13" x14ac:dyDescent="0.3">
      <c r="A47">
        <v>45</v>
      </c>
      <c r="B47">
        <v>7</v>
      </c>
      <c r="C47">
        <v>5</v>
      </c>
      <c r="D47">
        <v>5</v>
      </c>
      <c r="F47">
        <v>45</v>
      </c>
      <c r="G47">
        <v>10</v>
      </c>
      <c r="H47">
        <v>5</v>
      </c>
      <c r="I47">
        <v>11</v>
      </c>
      <c r="K47">
        <v>45</v>
      </c>
      <c r="L47">
        <v>9</v>
      </c>
      <c r="M47">
        <v>15</v>
      </c>
    </row>
    <row r="48" spans="1:13" x14ac:dyDescent="0.3">
      <c r="A48">
        <v>46</v>
      </c>
      <c r="B48">
        <v>9</v>
      </c>
      <c r="C48">
        <v>4</v>
      </c>
      <c r="D48">
        <v>4</v>
      </c>
      <c r="F48">
        <v>46</v>
      </c>
      <c r="G48">
        <v>7</v>
      </c>
      <c r="H48">
        <v>9</v>
      </c>
      <c r="I48">
        <v>9</v>
      </c>
      <c r="K48">
        <v>46</v>
      </c>
      <c r="L48">
        <v>11</v>
      </c>
      <c r="M48">
        <v>8</v>
      </c>
    </row>
    <row r="49" spans="1:13" x14ac:dyDescent="0.3">
      <c r="A49">
        <v>47</v>
      </c>
      <c r="B49">
        <v>7</v>
      </c>
      <c r="C49">
        <v>6</v>
      </c>
      <c r="D49">
        <v>3</v>
      </c>
      <c r="F49">
        <v>47</v>
      </c>
      <c r="G49">
        <v>19</v>
      </c>
      <c r="H49">
        <v>7</v>
      </c>
      <c r="I49">
        <v>11</v>
      </c>
      <c r="K49">
        <v>47</v>
      </c>
      <c r="L49">
        <v>9</v>
      </c>
      <c r="M49">
        <v>10</v>
      </c>
    </row>
    <row r="50" spans="1:13" x14ac:dyDescent="0.3">
      <c r="A50">
        <v>48</v>
      </c>
      <c r="B50">
        <v>9</v>
      </c>
      <c r="C50">
        <v>7</v>
      </c>
      <c r="D50">
        <v>2</v>
      </c>
      <c r="F50">
        <v>48</v>
      </c>
      <c r="G50">
        <v>15</v>
      </c>
      <c r="H50">
        <v>10</v>
      </c>
      <c r="I50">
        <v>9</v>
      </c>
      <c r="K50">
        <v>48</v>
      </c>
      <c r="L50">
        <v>14</v>
      </c>
      <c r="M50">
        <v>8</v>
      </c>
    </row>
    <row r="51" spans="1:13" x14ac:dyDescent="0.3">
      <c r="A51">
        <v>49</v>
      </c>
      <c r="B51">
        <v>8</v>
      </c>
      <c r="C51">
        <v>7</v>
      </c>
      <c r="D51">
        <v>3</v>
      </c>
      <c r="F51">
        <v>49</v>
      </c>
      <c r="G51">
        <v>16</v>
      </c>
      <c r="H51">
        <v>8</v>
      </c>
      <c r="I51">
        <v>8</v>
      </c>
      <c r="K51">
        <v>49</v>
      </c>
      <c r="L51">
        <v>12</v>
      </c>
      <c r="M51">
        <v>11</v>
      </c>
    </row>
    <row r="52" spans="1:13" x14ac:dyDescent="0.3">
      <c r="A52">
        <v>50</v>
      </c>
      <c r="B52">
        <v>12</v>
      </c>
      <c r="C52">
        <v>5</v>
      </c>
      <c r="D52">
        <v>0</v>
      </c>
      <c r="F52">
        <v>50</v>
      </c>
      <c r="G52">
        <v>17</v>
      </c>
      <c r="H52">
        <v>12</v>
      </c>
      <c r="I52">
        <v>6</v>
      </c>
      <c r="K52">
        <v>50</v>
      </c>
      <c r="L52">
        <v>20</v>
      </c>
      <c r="M52">
        <v>7</v>
      </c>
    </row>
    <row r="53" spans="1:13" x14ac:dyDescent="0.3">
      <c r="A53">
        <v>51</v>
      </c>
      <c r="B53">
        <v>10</v>
      </c>
      <c r="C53">
        <v>7</v>
      </c>
      <c r="D53">
        <v>4</v>
      </c>
      <c r="F53">
        <v>51</v>
      </c>
      <c r="G53">
        <v>23</v>
      </c>
      <c r="H53">
        <v>12</v>
      </c>
      <c r="I53">
        <v>4</v>
      </c>
      <c r="K53">
        <v>51</v>
      </c>
      <c r="L53">
        <v>16</v>
      </c>
      <c r="M53">
        <v>13</v>
      </c>
    </row>
    <row r="54" spans="1:13" x14ac:dyDescent="0.3">
      <c r="A54">
        <v>52</v>
      </c>
      <c r="B54">
        <v>11</v>
      </c>
      <c r="C54">
        <v>10</v>
      </c>
      <c r="D54">
        <v>4</v>
      </c>
      <c r="F54">
        <v>52</v>
      </c>
      <c r="G54">
        <v>18</v>
      </c>
      <c r="H54">
        <v>12</v>
      </c>
      <c r="I54">
        <v>9</v>
      </c>
      <c r="K54">
        <v>52</v>
      </c>
      <c r="L54">
        <v>16</v>
      </c>
      <c r="M54">
        <v>11</v>
      </c>
    </row>
    <row r="55" spans="1:13" x14ac:dyDescent="0.3">
      <c r="A55">
        <v>53</v>
      </c>
      <c r="B55">
        <v>10</v>
      </c>
      <c r="C55">
        <v>11</v>
      </c>
      <c r="D55">
        <v>1</v>
      </c>
      <c r="F55">
        <v>53</v>
      </c>
      <c r="G55">
        <v>21</v>
      </c>
      <c r="H55">
        <v>9</v>
      </c>
      <c r="I55">
        <v>11</v>
      </c>
      <c r="K55">
        <v>53</v>
      </c>
      <c r="L55">
        <v>18</v>
      </c>
      <c r="M55">
        <v>13</v>
      </c>
    </row>
    <row r="56" spans="1:13" x14ac:dyDescent="0.3">
      <c r="A56">
        <v>54</v>
      </c>
      <c r="B56">
        <v>9</v>
      </c>
      <c r="C56">
        <v>11</v>
      </c>
      <c r="D56">
        <v>4</v>
      </c>
      <c r="F56">
        <v>54</v>
      </c>
      <c r="G56">
        <v>13</v>
      </c>
      <c r="H56">
        <v>8</v>
      </c>
      <c r="I56">
        <v>12</v>
      </c>
      <c r="K56">
        <v>54</v>
      </c>
      <c r="L56">
        <v>16</v>
      </c>
      <c r="M56">
        <v>11</v>
      </c>
    </row>
    <row r="57" spans="1:13" x14ac:dyDescent="0.3">
      <c r="A57">
        <v>55</v>
      </c>
      <c r="B57">
        <v>8</v>
      </c>
      <c r="C57">
        <v>6</v>
      </c>
      <c r="D57">
        <v>4</v>
      </c>
      <c r="F57">
        <v>55</v>
      </c>
      <c r="G57">
        <v>10</v>
      </c>
      <c r="H57">
        <v>9</v>
      </c>
      <c r="I57">
        <v>11</v>
      </c>
      <c r="K57">
        <v>55</v>
      </c>
      <c r="L57">
        <v>17</v>
      </c>
      <c r="M57">
        <v>5</v>
      </c>
    </row>
    <row r="58" spans="1:13" x14ac:dyDescent="0.3">
      <c r="A58">
        <v>56</v>
      </c>
      <c r="B58">
        <v>8</v>
      </c>
      <c r="C58">
        <v>7</v>
      </c>
      <c r="D58">
        <v>3</v>
      </c>
      <c r="F58">
        <v>56</v>
      </c>
      <c r="G58">
        <v>23</v>
      </c>
      <c r="H58">
        <v>8</v>
      </c>
      <c r="I58">
        <v>8</v>
      </c>
      <c r="K58">
        <v>56</v>
      </c>
      <c r="L58">
        <v>13</v>
      </c>
      <c r="M58">
        <v>8</v>
      </c>
    </row>
    <row r="59" spans="1:13" x14ac:dyDescent="0.3">
      <c r="A59">
        <v>57</v>
      </c>
      <c r="B59">
        <v>6</v>
      </c>
      <c r="C59">
        <v>8</v>
      </c>
      <c r="D59">
        <v>4</v>
      </c>
      <c r="F59">
        <v>57</v>
      </c>
      <c r="G59">
        <v>20</v>
      </c>
      <c r="H59">
        <v>8</v>
      </c>
      <c r="I59">
        <v>2</v>
      </c>
      <c r="K59">
        <v>57</v>
      </c>
      <c r="L59">
        <v>10</v>
      </c>
      <c r="M59">
        <v>9</v>
      </c>
    </row>
    <row r="60" spans="1:13" x14ac:dyDescent="0.3">
      <c r="A60">
        <v>58</v>
      </c>
      <c r="B60">
        <v>7</v>
      </c>
      <c r="C60">
        <v>7</v>
      </c>
      <c r="D60">
        <v>3</v>
      </c>
      <c r="F60">
        <v>58</v>
      </c>
      <c r="G60">
        <v>20</v>
      </c>
      <c r="H60">
        <v>9</v>
      </c>
      <c r="I60">
        <v>11</v>
      </c>
      <c r="K60">
        <v>58</v>
      </c>
      <c r="L60">
        <v>15</v>
      </c>
      <c r="M60">
        <v>11</v>
      </c>
    </row>
    <row r="61" spans="1:13" x14ac:dyDescent="0.3">
      <c r="A61">
        <v>59</v>
      </c>
      <c r="B61">
        <v>7</v>
      </c>
      <c r="C61">
        <v>2</v>
      </c>
      <c r="D61">
        <v>3</v>
      </c>
      <c r="F61">
        <v>59</v>
      </c>
      <c r="G61">
        <v>17</v>
      </c>
      <c r="H61">
        <v>7</v>
      </c>
      <c r="I61">
        <v>9</v>
      </c>
      <c r="K61">
        <v>59</v>
      </c>
      <c r="L61">
        <v>12</v>
      </c>
      <c r="M61">
        <v>6</v>
      </c>
    </row>
    <row r="62" spans="1:13" x14ac:dyDescent="0.3">
      <c r="A62">
        <v>60</v>
      </c>
      <c r="B62">
        <v>5</v>
      </c>
      <c r="C62">
        <v>8</v>
      </c>
      <c r="D62">
        <v>2</v>
      </c>
      <c r="F62">
        <v>60</v>
      </c>
      <c r="G62">
        <v>19</v>
      </c>
      <c r="H62">
        <v>14</v>
      </c>
      <c r="I62">
        <v>5</v>
      </c>
      <c r="K62">
        <v>60</v>
      </c>
      <c r="L62">
        <v>11</v>
      </c>
      <c r="M62">
        <v>10</v>
      </c>
    </row>
    <row r="63" spans="1:13" x14ac:dyDescent="0.3">
      <c r="A63">
        <v>61</v>
      </c>
      <c r="B63">
        <v>7</v>
      </c>
      <c r="C63">
        <v>3</v>
      </c>
      <c r="D63">
        <v>0</v>
      </c>
      <c r="F63">
        <v>61</v>
      </c>
      <c r="G63">
        <v>25</v>
      </c>
      <c r="H63">
        <v>9</v>
      </c>
      <c r="I63">
        <v>8</v>
      </c>
      <c r="K63">
        <v>61</v>
      </c>
      <c r="L63">
        <v>15</v>
      </c>
      <c r="M63">
        <v>10</v>
      </c>
    </row>
    <row r="64" spans="1:13" x14ac:dyDescent="0.3">
      <c r="A64">
        <v>62</v>
      </c>
      <c r="B64">
        <v>10</v>
      </c>
      <c r="C64">
        <v>8</v>
      </c>
      <c r="D64">
        <v>3</v>
      </c>
      <c r="F64">
        <v>62</v>
      </c>
      <c r="G64">
        <v>16</v>
      </c>
      <c r="H64">
        <v>13</v>
      </c>
      <c r="I64">
        <v>13</v>
      </c>
      <c r="K64">
        <v>62</v>
      </c>
      <c r="L64">
        <v>14</v>
      </c>
      <c r="M64">
        <v>10</v>
      </c>
    </row>
    <row r="65" spans="1:13" x14ac:dyDescent="0.3">
      <c r="A65">
        <v>63</v>
      </c>
      <c r="B65">
        <v>10</v>
      </c>
      <c r="C65">
        <v>8</v>
      </c>
      <c r="D65">
        <v>5</v>
      </c>
      <c r="F65">
        <v>63</v>
      </c>
      <c r="G65">
        <v>17</v>
      </c>
      <c r="H65">
        <v>10</v>
      </c>
      <c r="I65">
        <v>13</v>
      </c>
      <c r="K65">
        <v>63</v>
      </c>
      <c r="L65">
        <v>15</v>
      </c>
      <c r="M65">
        <v>13</v>
      </c>
    </row>
    <row r="66" spans="1:13" x14ac:dyDescent="0.3">
      <c r="A66">
        <v>64</v>
      </c>
      <c r="B66">
        <v>13</v>
      </c>
      <c r="C66">
        <v>6</v>
      </c>
      <c r="D66">
        <v>1</v>
      </c>
      <c r="F66">
        <v>64</v>
      </c>
      <c r="G66">
        <v>13</v>
      </c>
      <c r="H66">
        <v>8</v>
      </c>
      <c r="I66">
        <v>8</v>
      </c>
      <c r="K66">
        <v>64</v>
      </c>
      <c r="L66">
        <v>15</v>
      </c>
      <c r="M66">
        <v>8</v>
      </c>
    </row>
    <row r="67" spans="1:13" x14ac:dyDescent="0.3">
      <c r="A67">
        <v>65</v>
      </c>
      <c r="B67">
        <v>12</v>
      </c>
      <c r="C67">
        <v>10</v>
      </c>
      <c r="D67">
        <v>1</v>
      </c>
      <c r="F67">
        <v>65</v>
      </c>
      <c r="G67">
        <v>25</v>
      </c>
      <c r="H67">
        <v>7</v>
      </c>
      <c r="I67">
        <v>13</v>
      </c>
      <c r="K67">
        <v>65</v>
      </c>
      <c r="L67">
        <v>18</v>
      </c>
      <c r="M67">
        <v>15</v>
      </c>
    </row>
    <row r="68" spans="1:13" x14ac:dyDescent="0.3">
      <c r="A68">
        <v>66</v>
      </c>
      <c r="B68">
        <v>12</v>
      </c>
      <c r="C68">
        <v>14</v>
      </c>
      <c r="D68">
        <v>5</v>
      </c>
      <c r="F68">
        <v>66</v>
      </c>
      <c r="G68">
        <v>15</v>
      </c>
      <c r="H68">
        <v>9</v>
      </c>
      <c r="I68">
        <v>13</v>
      </c>
      <c r="K68">
        <v>66</v>
      </c>
      <c r="L68">
        <v>21</v>
      </c>
      <c r="M68">
        <v>7</v>
      </c>
    </row>
    <row r="69" spans="1:13" x14ac:dyDescent="0.3">
      <c r="A69">
        <v>67</v>
      </c>
      <c r="B69">
        <v>14</v>
      </c>
      <c r="C69">
        <v>9</v>
      </c>
      <c r="D69">
        <v>4</v>
      </c>
      <c r="F69">
        <v>67</v>
      </c>
      <c r="G69">
        <v>23</v>
      </c>
      <c r="H69">
        <v>10</v>
      </c>
      <c r="I69">
        <v>7</v>
      </c>
      <c r="K69">
        <v>67</v>
      </c>
      <c r="L69">
        <v>15</v>
      </c>
      <c r="M69">
        <v>6</v>
      </c>
    </row>
    <row r="70" spans="1:13" x14ac:dyDescent="0.3">
      <c r="A70">
        <v>68</v>
      </c>
      <c r="B70">
        <v>10</v>
      </c>
      <c r="C70">
        <v>4</v>
      </c>
      <c r="D70">
        <v>3</v>
      </c>
      <c r="F70">
        <v>68</v>
      </c>
      <c r="G70">
        <v>12</v>
      </c>
      <c r="H70">
        <v>8</v>
      </c>
      <c r="I70">
        <v>14</v>
      </c>
      <c r="K70">
        <v>68</v>
      </c>
      <c r="L70">
        <v>15</v>
      </c>
      <c r="M70">
        <v>8</v>
      </c>
    </row>
    <row r="71" spans="1:13" x14ac:dyDescent="0.3">
      <c r="A71">
        <v>69</v>
      </c>
      <c r="B71">
        <v>10</v>
      </c>
      <c r="C71">
        <v>11</v>
      </c>
      <c r="D71">
        <v>5</v>
      </c>
      <c r="F71">
        <v>69</v>
      </c>
      <c r="G71">
        <v>16</v>
      </c>
      <c r="H71">
        <v>11</v>
      </c>
      <c r="I71">
        <v>21</v>
      </c>
      <c r="K71">
        <v>69</v>
      </c>
      <c r="L71">
        <v>13</v>
      </c>
      <c r="M71">
        <v>13</v>
      </c>
    </row>
    <row r="72" spans="1:13" x14ac:dyDescent="0.3">
      <c r="A72">
        <v>70</v>
      </c>
      <c r="B72">
        <v>7</v>
      </c>
      <c r="C72">
        <v>1</v>
      </c>
      <c r="D72">
        <v>2</v>
      </c>
      <c r="F72">
        <v>70</v>
      </c>
      <c r="G72">
        <v>18</v>
      </c>
      <c r="H72">
        <v>12</v>
      </c>
      <c r="I72">
        <v>11</v>
      </c>
      <c r="K72">
        <v>70</v>
      </c>
      <c r="L72">
        <v>8</v>
      </c>
      <c r="M72">
        <v>13</v>
      </c>
    </row>
    <row r="73" spans="1:13" x14ac:dyDescent="0.3">
      <c r="A73">
        <v>71</v>
      </c>
      <c r="B73">
        <v>8</v>
      </c>
      <c r="C73">
        <v>9</v>
      </c>
      <c r="D73">
        <v>4</v>
      </c>
      <c r="F73">
        <v>71</v>
      </c>
      <c r="G73">
        <v>19</v>
      </c>
      <c r="H73">
        <v>12</v>
      </c>
      <c r="I73">
        <v>9</v>
      </c>
      <c r="K73">
        <v>71</v>
      </c>
      <c r="L73">
        <v>9</v>
      </c>
      <c r="M73">
        <v>8</v>
      </c>
    </row>
    <row r="74" spans="1:13" x14ac:dyDescent="0.3">
      <c r="A74">
        <v>72</v>
      </c>
      <c r="B74">
        <v>8</v>
      </c>
      <c r="C74">
        <v>7</v>
      </c>
      <c r="D74">
        <v>4</v>
      </c>
      <c r="F74">
        <v>72</v>
      </c>
      <c r="G74">
        <v>17</v>
      </c>
      <c r="H74">
        <v>14</v>
      </c>
      <c r="I74">
        <v>11</v>
      </c>
      <c r="K74">
        <v>72</v>
      </c>
      <c r="L74">
        <v>11</v>
      </c>
      <c r="M74">
        <v>6</v>
      </c>
    </row>
    <row r="75" spans="1:13" x14ac:dyDescent="0.3">
      <c r="A75">
        <v>73</v>
      </c>
      <c r="B75">
        <v>5</v>
      </c>
      <c r="C75">
        <v>9</v>
      </c>
      <c r="D75">
        <v>4</v>
      </c>
      <c r="F75">
        <v>73</v>
      </c>
      <c r="G75">
        <v>16</v>
      </c>
      <c r="H75">
        <v>9</v>
      </c>
      <c r="I75">
        <v>5</v>
      </c>
      <c r="K75">
        <v>73</v>
      </c>
      <c r="L75">
        <v>12</v>
      </c>
      <c r="M75">
        <v>11</v>
      </c>
    </row>
    <row r="76" spans="1:13" x14ac:dyDescent="0.3">
      <c r="A76">
        <v>74</v>
      </c>
      <c r="B76">
        <v>9</v>
      </c>
      <c r="C76">
        <v>9</v>
      </c>
      <c r="D76">
        <v>2</v>
      </c>
      <c r="F76">
        <v>74</v>
      </c>
      <c r="G76">
        <v>20</v>
      </c>
      <c r="H76">
        <v>7</v>
      </c>
      <c r="I76">
        <v>7</v>
      </c>
      <c r="K76">
        <v>74</v>
      </c>
      <c r="L76">
        <v>15</v>
      </c>
      <c r="M76">
        <v>6</v>
      </c>
    </row>
    <row r="77" spans="1:13" x14ac:dyDescent="0.3">
      <c r="A77">
        <v>75</v>
      </c>
      <c r="B77">
        <v>13</v>
      </c>
      <c r="C77">
        <v>10</v>
      </c>
      <c r="D77">
        <v>3</v>
      </c>
      <c r="F77">
        <v>75</v>
      </c>
      <c r="G77">
        <v>14</v>
      </c>
      <c r="H77">
        <v>9</v>
      </c>
      <c r="I77">
        <v>10</v>
      </c>
      <c r="K77">
        <v>75</v>
      </c>
      <c r="L77">
        <v>14</v>
      </c>
      <c r="M77">
        <v>11</v>
      </c>
    </row>
    <row r="78" spans="1:13" x14ac:dyDescent="0.3">
      <c r="A78">
        <v>76</v>
      </c>
      <c r="B78">
        <v>12</v>
      </c>
      <c r="C78">
        <v>3</v>
      </c>
      <c r="D78">
        <v>2</v>
      </c>
      <c r="F78">
        <v>76</v>
      </c>
      <c r="G78">
        <v>24</v>
      </c>
      <c r="H78">
        <v>9</v>
      </c>
      <c r="I78">
        <v>16</v>
      </c>
      <c r="K78">
        <v>76</v>
      </c>
      <c r="L78">
        <v>18</v>
      </c>
      <c r="M78">
        <v>7</v>
      </c>
    </row>
    <row r="79" spans="1:13" x14ac:dyDescent="0.3">
      <c r="A79">
        <v>77</v>
      </c>
      <c r="B79">
        <v>13</v>
      </c>
      <c r="C79">
        <v>9</v>
      </c>
      <c r="D79">
        <v>6</v>
      </c>
      <c r="F79">
        <v>77</v>
      </c>
      <c r="G79">
        <v>24</v>
      </c>
      <c r="H79">
        <v>8</v>
      </c>
      <c r="I79">
        <v>9</v>
      </c>
      <c r="K79">
        <v>77</v>
      </c>
      <c r="L79">
        <v>19</v>
      </c>
      <c r="M79">
        <v>10</v>
      </c>
    </row>
    <row r="80" spans="1:13" x14ac:dyDescent="0.3">
      <c r="A80">
        <v>78</v>
      </c>
      <c r="B80">
        <v>12</v>
      </c>
      <c r="C80">
        <v>5</v>
      </c>
      <c r="D80">
        <v>5</v>
      </c>
      <c r="F80">
        <v>78</v>
      </c>
      <c r="G80">
        <v>18</v>
      </c>
      <c r="H80">
        <v>9</v>
      </c>
      <c r="I80">
        <v>1</v>
      </c>
      <c r="K80">
        <v>78</v>
      </c>
      <c r="L80">
        <v>18</v>
      </c>
      <c r="M80">
        <v>7</v>
      </c>
    </row>
    <row r="81" spans="1:13" x14ac:dyDescent="0.3">
      <c r="A81">
        <v>79</v>
      </c>
      <c r="B81">
        <v>13</v>
      </c>
      <c r="C81">
        <v>6</v>
      </c>
      <c r="D81">
        <v>2</v>
      </c>
      <c r="F81">
        <v>79</v>
      </c>
      <c r="G81">
        <v>20</v>
      </c>
      <c r="H81">
        <v>10</v>
      </c>
      <c r="I81">
        <v>10</v>
      </c>
      <c r="K81">
        <v>79</v>
      </c>
      <c r="L81">
        <v>20</v>
      </c>
      <c r="M81">
        <v>15</v>
      </c>
    </row>
    <row r="82" spans="1:13" x14ac:dyDescent="0.3">
      <c r="A82">
        <v>80</v>
      </c>
      <c r="B82">
        <v>12</v>
      </c>
      <c r="C82">
        <v>4</v>
      </c>
      <c r="D82">
        <v>3</v>
      </c>
      <c r="F82">
        <v>80</v>
      </c>
      <c r="G82">
        <v>20</v>
      </c>
      <c r="H82">
        <v>6</v>
      </c>
      <c r="I82">
        <v>8</v>
      </c>
      <c r="K82">
        <v>80</v>
      </c>
      <c r="L82">
        <v>17</v>
      </c>
      <c r="M82">
        <v>14</v>
      </c>
    </row>
    <row r="83" spans="1:13" x14ac:dyDescent="0.3">
      <c r="A83">
        <v>81</v>
      </c>
      <c r="B83">
        <v>9</v>
      </c>
      <c r="C83">
        <v>3</v>
      </c>
      <c r="D83">
        <v>2</v>
      </c>
      <c r="F83">
        <v>81</v>
      </c>
      <c r="G83">
        <v>18</v>
      </c>
      <c r="H83">
        <v>7</v>
      </c>
      <c r="I83">
        <v>3</v>
      </c>
      <c r="K83">
        <v>81</v>
      </c>
      <c r="L83">
        <v>17</v>
      </c>
      <c r="M83">
        <v>9</v>
      </c>
    </row>
    <row r="84" spans="1:13" x14ac:dyDescent="0.3">
      <c r="A84">
        <v>82</v>
      </c>
      <c r="B84">
        <v>10</v>
      </c>
      <c r="C84">
        <v>5</v>
      </c>
      <c r="D84">
        <v>4</v>
      </c>
      <c r="F84">
        <v>82</v>
      </c>
      <c r="G84">
        <v>15</v>
      </c>
      <c r="H84">
        <v>13</v>
      </c>
      <c r="I84">
        <v>10</v>
      </c>
      <c r="K84">
        <v>82</v>
      </c>
      <c r="L84">
        <v>11</v>
      </c>
      <c r="M84">
        <v>6</v>
      </c>
    </row>
    <row r="85" spans="1:13" x14ac:dyDescent="0.3">
      <c r="A85">
        <v>83</v>
      </c>
      <c r="B85">
        <v>9</v>
      </c>
      <c r="C85">
        <v>9</v>
      </c>
      <c r="D85">
        <v>5</v>
      </c>
      <c r="F85">
        <v>83</v>
      </c>
      <c r="G85">
        <v>15</v>
      </c>
      <c r="H85">
        <v>10</v>
      </c>
      <c r="I85">
        <v>6</v>
      </c>
      <c r="K85">
        <v>83</v>
      </c>
      <c r="L85">
        <v>13</v>
      </c>
      <c r="M85">
        <v>9</v>
      </c>
    </row>
    <row r="86" spans="1:13" x14ac:dyDescent="0.3">
      <c r="A86">
        <v>84</v>
      </c>
      <c r="B86">
        <v>11</v>
      </c>
      <c r="C86">
        <v>6</v>
      </c>
      <c r="D86">
        <v>3</v>
      </c>
      <c r="F86">
        <v>84</v>
      </c>
      <c r="G86">
        <v>18</v>
      </c>
      <c r="H86">
        <v>11</v>
      </c>
      <c r="I86">
        <v>10</v>
      </c>
      <c r="K86">
        <v>84</v>
      </c>
      <c r="L86">
        <v>11</v>
      </c>
      <c r="M86">
        <v>12</v>
      </c>
    </row>
    <row r="87" spans="1:13" x14ac:dyDescent="0.3">
      <c r="A87">
        <v>85</v>
      </c>
      <c r="B87">
        <v>8</v>
      </c>
      <c r="C87">
        <v>4</v>
      </c>
      <c r="D87">
        <v>5</v>
      </c>
      <c r="F87">
        <v>85</v>
      </c>
      <c r="G87">
        <v>21</v>
      </c>
      <c r="H87">
        <v>7</v>
      </c>
      <c r="I87">
        <v>12</v>
      </c>
      <c r="K87">
        <v>85</v>
      </c>
      <c r="L87">
        <v>13</v>
      </c>
      <c r="M87">
        <v>10</v>
      </c>
    </row>
    <row r="88" spans="1:13" x14ac:dyDescent="0.3">
      <c r="A88">
        <v>86</v>
      </c>
      <c r="B88">
        <v>8</v>
      </c>
      <c r="C88">
        <v>5</v>
      </c>
      <c r="D88">
        <v>1</v>
      </c>
      <c r="F88">
        <v>86</v>
      </c>
      <c r="G88">
        <v>12</v>
      </c>
      <c r="H88">
        <v>12</v>
      </c>
      <c r="I88">
        <v>10</v>
      </c>
      <c r="K88">
        <v>86</v>
      </c>
      <c r="L88">
        <v>15</v>
      </c>
      <c r="M88">
        <v>8</v>
      </c>
    </row>
    <row r="89" spans="1:13" x14ac:dyDescent="0.3">
      <c r="A89">
        <v>87</v>
      </c>
      <c r="B89">
        <v>11</v>
      </c>
      <c r="C89">
        <v>8</v>
      </c>
      <c r="D89">
        <v>2</v>
      </c>
      <c r="F89">
        <v>87</v>
      </c>
      <c r="G89">
        <v>19</v>
      </c>
      <c r="H89">
        <v>9</v>
      </c>
      <c r="I89">
        <v>6</v>
      </c>
      <c r="K89">
        <v>87</v>
      </c>
      <c r="L89">
        <v>11</v>
      </c>
      <c r="M89">
        <v>2</v>
      </c>
    </row>
    <row r="90" spans="1:13" x14ac:dyDescent="0.3">
      <c r="A90">
        <v>88</v>
      </c>
      <c r="B90">
        <v>11</v>
      </c>
      <c r="C90">
        <v>5</v>
      </c>
      <c r="D90">
        <v>3</v>
      </c>
      <c r="F90">
        <v>88</v>
      </c>
      <c r="G90">
        <v>16</v>
      </c>
      <c r="H90">
        <v>9</v>
      </c>
      <c r="I90">
        <v>12</v>
      </c>
      <c r="K90">
        <v>88</v>
      </c>
      <c r="L90">
        <v>16</v>
      </c>
      <c r="M90">
        <v>7</v>
      </c>
    </row>
    <row r="91" spans="1:13" x14ac:dyDescent="0.3">
      <c r="A91">
        <v>89</v>
      </c>
      <c r="B91">
        <v>11</v>
      </c>
      <c r="C91">
        <v>10</v>
      </c>
      <c r="D91">
        <v>6</v>
      </c>
      <c r="F91">
        <v>89</v>
      </c>
      <c r="G91">
        <v>24</v>
      </c>
      <c r="H91">
        <v>9</v>
      </c>
      <c r="I91">
        <v>8</v>
      </c>
      <c r="K91">
        <v>89</v>
      </c>
      <c r="L91">
        <v>17</v>
      </c>
      <c r="M91">
        <v>15</v>
      </c>
    </row>
    <row r="92" spans="1:13" x14ac:dyDescent="0.3">
      <c r="A92">
        <v>90</v>
      </c>
      <c r="B92">
        <v>13</v>
      </c>
      <c r="C92">
        <v>6</v>
      </c>
      <c r="D92">
        <v>3</v>
      </c>
      <c r="F92">
        <v>90</v>
      </c>
      <c r="G92">
        <v>27</v>
      </c>
      <c r="H92">
        <v>12</v>
      </c>
      <c r="I92">
        <v>16</v>
      </c>
      <c r="K92">
        <v>90</v>
      </c>
      <c r="L92">
        <v>16</v>
      </c>
      <c r="M92">
        <v>15</v>
      </c>
    </row>
    <row r="93" spans="1:13" x14ac:dyDescent="0.3">
      <c r="A93">
        <v>91</v>
      </c>
      <c r="B93">
        <v>15</v>
      </c>
      <c r="C93">
        <v>7</v>
      </c>
      <c r="D93">
        <v>6</v>
      </c>
      <c r="F93">
        <v>91</v>
      </c>
      <c r="G93">
        <v>20</v>
      </c>
      <c r="H93">
        <v>11</v>
      </c>
      <c r="I93">
        <v>6</v>
      </c>
      <c r="K93">
        <v>91</v>
      </c>
      <c r="L93">
        <v>18</v>
      </c>
      <c r="M93">
        <v>7</v>
      </c>
    </row>
    <row r="94" spans="1:13" x14ac:dyDescent="0.3">
      <c r="A94">
        <v>92</v>
      </c>
      <c r="B94">
        <v>15</v>
      </c>
      <c r="C94">
        <v>11</v>
      </c>
      <c r="D94">
        <v>2</v>
      </c>
      <c r="F94">
        <v>92</v>
      </c>
      <c r="G94">
        <v>18</v>
      </c>
      <c r="H94">
        <v>10</v>
      </c>
      <c r="I94">
        <v>10</v>
      </c>
      <c r="K94">
        <v>92</v>
      </c>
      <c r="L94">
        <v>22</v>
      </c>
      <c r="M94">
        <v>9</v>
      </c>
    </row>
    <row r="95" spans="1:13" x14ac:dyDescent="0.3">
      <c r="A95">
        <v>93</v>
      </c>
      <c r="B95">
        <v>14</v>
      </c>
      <c r="C95">
        <v>10</v>
      </c>
      <c r="D95">
        <v>4</v>
      </c>
      <c r="F95">
        <v>93</v>
      </c>
      <c r="G95">
        <v>17</v>
      </c>
      <c r="H95">
        <v>9</v>
      </c>
      <c r="I95">
        <v>12</v>
      </c>
      <c r="K95">
        <v>93</v>
      </c>
      <c r="L95">
        <v>14</v>
      </c>
      <c r="M95">
        <v>7</v>
      </c>
    </row>
    <row r="96" spans="1:13" x14ac:dyDescent="0.3">
      <c r="A96">
        <v>94</v>
      </c>
      <c r="B96">
        <v>11</v>
      </c>
      <c r="C96">
        <v>0</v>
      </c>
      <c r="D96">
        <v>2</v>
      </c>
      <c r="F96">
        <v>94</v>
      </c>
      <c r="G96">
        <v>13</v>
      </c>
      <c r="H96">
        <v>12</v>
      </c>
      <c r="I96">
        <v>10</v>
      </c>
      <c r="K96">
        <v>94</v>
      </c>
      <c r="L96">
        <v>16</v>
      </c>
      <c r="M96">
        <v>10</v>
      </c>
    </row>
    <row r="97" spans="1:13" x14ac:dyDescent="0.3">
      <c r="A97">
        <v>95</v>
      </c>
      <c r="B97">
        <v>13</v>
      </c>
      <c r="C97">
        <v>9</v>
      </c>
      <c r="D97">
        <v>3</v>
      </c>
      <c r="F97">
        <v>95</v>
      </c>
      <c r="G97">
        <v>17</v>
      </c>
      <c r="H97">
        <v>10</v>
      </c>
      <c r="I97">
        <v>13</v>
      </c>
      <c r="K97">
        <v>95</v>
      </c>
      <c r="L97">
        <v>13</v>
      </c>
      <c r="M97">
        <v>10</v>
      </c>
    </row>
    <row r="98" spans="1:13" x14ac:dyDescent="0.3">
      <c r="A98">
        <v>96</v>
      </c>
      <c r="B98">
        <v>8</v>
      </c>
      <c r="C98">
        <v>4</v>
      </c>
      <c r="D98">
        <v>2</v>
      </c>
      <c r="F98">
        <v>96</v>
      </c>
      <c r="G98">
        <v>13</v>
      </c>
      <c r="H98">
        <v>9</v>
      </c>
      <c r="I98">
        <v>5</v>
      </c>
      <c r="K98">
        <v>96</v>
      </c>
      <c r="L98">
        <v>13</v>
      </c>
      <c r="M98">
        <v>13</v>
      </c>
    </row>
    <row r="99" spans="1:13" x14ac:dyDescent="0.3">
      <c r="A99">
        <v>97</v>
      </c>
      <c r="B99">
        <v>10</v>
      </c>
      <c r="C99">
        <v>10</v>
      </c>
      <c r="D99">
        <v>2</v>
      </c>
      <c r="F99">
        <v>97</v>
      </c>
      <c r="G99">
        <v>16</v>
      </c>
      <c r="H99">
        <v>12</v>
      </c>
      <c r="I99">
        <v>8</v>
      </c>
      <c r="K99">
        <v>97</v>
      </c>
      <c r="L99">
        <v>11</v>
      </c>
      <c r="M99">
        <v>12</v>
      </c>
    </row>
    <row r="100" spans="1:13" x14ac:dyDescent="0.3">
      <c r="A100">
        <v>98</v>
      </c>
      <c r="B100">
        <v>6</v>
      </c>
      <c r="C100">
        <v>5</v>
      </c>
      <c r="D100">
        <v>2</v>
      </c>
      <c r="F100">
        <v>98</v>
      </c>
      <c r="G100">
        <v>18</v>
      </c>
      <c r="H100">
        <v>11</v>
      </c>
      <c r="I100">
        <v>11</v>
      </c>
      <c r="K100">
        <v>98</v>
      </c>
      <c r="L100">
        <v>13</v>
      </c>
      <c r="M100">
        <v>7</v>
      </c>
    </row>
    <row r="101" spans="1:13" x14ac:dyDescent="0.3">
      <c r="A101">
        <v>99</v>
      </c>
      <c r="B101">
        <v>6</v>
      </c>
      <c r="C101">
        <v>9</v>
      </c>
      <c r="D101">
        <v>3</v>
      </c>
      <c r="F101">
        <v>99</v>
      </c>
      <c r="G101">
        <v>14</v>
      </c>
      <c r="H101">
        <v>9</v>
      </c>
      <c r="I101">
        <v>10</v>
      </c>
      <c r="K101">
        <v>99</v>
      </c>
      <c r="L101">
        <v>14</v>
      </c>
      <c r="M101">
        <v>10</v>
      </c>
    </row>
    <row r="102" spans="1:13" x14ac:dyDescent="0.3">
      <c r="A102">
        <v>100</v>
      </c>
      <c r="B102">
        <v>7</v>
      </c>
      <c r="C102">
        <v>3</v>
      </c>
      <c r="D102">
        <v>0</v>
      </c>
      <c r="F102">
        <v>100</v>
      </c>
      <c r="G102">
        <v>13</v>
      </c>
      <c r="H102">
        <v>13</v>
      </c>
      <c r="I102">
        <v>7</v>
      </c>
      <c r="K102">
        <v>100</v>
      </c>
      <c r="L102">
        <v>15</v>
      </c>
      <c r="M102">
        <v>8</v>
      </c>
    </row>
    <row r="103" spans="1:13" x14ac:dyDescent="0.3">
      <c r="A103">
        <v>101</v>
      </c>
      <c r="B103">
        <v>10</v>
      </c>
      <c r="C103">
        <v>6</v>
      </c>
      <c r="D103">
        <v>6</v>
      </c>
      <c r="F103">
        <v>101</v>
      </c>
      <c r="G103">
        <v>18</v>
      </c>
      <c r="H103">
        <v>9</v>
      </c>
      <c r="I103">
        <v>7</v>
      </c>
      <c r="K103">
        <v>101</v>
      </c>
      <c r="L103">
        <v>15</v>
      </c>
      <c r="M103">
        <v>9</v>
      </c>
    </row>
    <row r="104" spans="1:13" x14ac:dyDescent="0.3">
      <c r="A104">
        <v>102</v>
      </c>
      <c r="B104">
        <v>12</v>
      </c>
      <c r="C104">
        <v>8</v>
      </c>
      <c r="D104">
        <v>4</v>
      </c>
      <c r="F104">
        <v>102</v>
      </c>
      <c r="G104">
        <v>24</v>
      </c>
      <c r="H104">
        <v>9</v>
      </c>
      <c r="I104">
        <v>15</v>
      </c>
      <c r="K104">
        <v>102</v>
      </c>
      <c r="L104">
        <v>16</v>
      </c>
      <c r="M104">
        <v>15</v>
      </c>
    </row>
    <row r="105" spans="1:13" x14ac:dyDescent="0.3">
      <c r="A105">
        <v>103</v>
      </c>
      <c r="B105">
        <v>13</v>
      </c>
      <c r="C105">
        <v>6</v>
      </c>
      <c r="D105">
        <v>4</v>
      </c>
      <c r="F105">
        <v>103</v>
      </c>
      <c r="G105">
        <v>25</v>
      </c>
      <c r="H105">
        <v>9</v>
      </c>
      <c r="I105">
        <v>6</v>
      </c>
      <c r="K105">
        <v>103</v>
      </c>
      <c r="L105">
        <v>17</v>
      </c>
      <c r="M105">
        <v>11</v>
      </c>
    </row>
    <row r="106" spans="1:13" x14ac:dyDescent="0.3">
      <c r="A106">
        <v>104</v>
      </c>
      <c r="B106">
        <v>12</v>
      </c>
      <c r="C106">
        <v>8</v>
      </c>
      <c r="D106">
        <v>1</v>
      </c>
      <c r="F106">
        <v>104</v>
      </c>
      <c r="G106">
        <v>18</v>
      </c>
      <c r="H106">
        <v>8</v>
      </c>
      <c r="I106">
        <v>1</v>
      </c>
      <c r="K106">
        <v>104</v>
      </c>
      <c r="L106">
        <v>17</v>
      </c>
      <c r="M106">
        <v>5</v>
      </c>
    </row>
    <row r="107" spans="1:13" x14ac:dyDescent="0.3">
      <c r="A107">
        <v>105</v>
      </c>
      <c r="B107">
        <v>15</v>
      </c>
      <c r="C107">
        <v>10</v>
      </c>
      <c r="D107">
        <v>2</v>
      </c>
      <c r="F107">
        <v>105</v>
      </c>
      <c r="G107">
        <v>24</v>
      </c>
      <c r="H107">
        <v>9</v>
      </c>
      <c r="I107">
        <v>11</v>
      </c>
      <c r="K107">
        <v>105</v>
      </c>
      <c r="L107">
        <v>17</v>
      </c>
      <c r="M107">
        <v>12</v>
      </c>
    </row>
    <row r="108" spans="1:13" x14ac:dyDescent="0.3">
      <c r="A108">
        <v>106</v>
      </c>
      <c r="B108">
        <v>13</v>
      </c>
      <c r="C108">
        <v>8</v>
      </c>
      <c r="D108">
        <v>3</v>
      </c>
      <c r="F108">
        <v>106</v>
      </c>
      <c r="G108">
        <v>28</v>
      </c>
      <c r="H108">
        <v>11</v>
      </c>
      <c r="I108">
        <v>15</v>
      </c>
      <c r="K108">
        <v>106</v>
      </c>
      <c r="L108">
        <v>14</v>
      </c>
      <c r="M108">
        <v>9</v>
      </c>
    </row>
    <row r="109" spans="1:13" x14ac:dyDescent="0.3">
      <c r="A109">
        <v>107</v>
      </c>
      <c r="B109">
        <v>12</v>
      </c>
      <c r="C109">
        <v>12</v>
      </c>
      <c r="D109">
        <v>1</v>
      </c>
      <c r="F109">
        <v>107</v>
      </c>
      <c r="G109">
        <v>19</v>
      </c>
      <c r="H109">
        <v>9</v>
      </c>
      <c r="I109">
        <v>5</v>
      </c>
      <c r="K109">
        <v>107</v>
      </c>
      <c r="L109">
        <v>18</v>
      </c>
      <c r="M109">
        <v>9</v>
      </c>
    </row>
    <row r="110" spans="1:13" x14ac:dyDescent="0.3">
      <c r="A110">
        <v>108</v>
      </c>
      <c r="B110">
        <v>10</v>
      </c>
      <c r="C110">
        <v>8</v>
      </c>
      <c r="D110">
        <v>5</v>
      </c>
      <c r="F110">
        <v>108</v>
      </c>
      <c r="G110">
        <v>12</v>
      </c>
      <c r="H110">
        <v>11</v>
      </c>
      <c r="I110">
        <v>10</v>
      </c>
      <c r="K110">
        <v>108</v>
      </c>
      <c r="L110">
        <v>16</v>
      </c>
      <c r="M110">
        <v>7</v>
      </c>
    </row>
    <row r="111" spans="1:13" x14ac:dyDescent="0.3">
      <c r="A111">
        <v>109</v>
      </c>
      <c r="B111">
        <v>11</v>
      </c>
      <c r="C111">
        <v>6</v>
      </c>
      <c r="D111">
        <v>0</v>
      </c>
      <c r="F111">
        <v>109</v>
      </c>
      <c r="G111">
        <v>18</v>
      </c>
      <c r="H111">
        <v>7</v>
      </c>
      <c r="I111">
        <v>16</v>
      </c>
      <c r="K111">
        <v>109</v>
      </c>
      <c r="L111">
        <v>10</v>
      </c>
      <c r="M111">
        <v>11</v>
      </c>
    </row>
    <row r="112" spans="1:13" x14ac:dyDescent="0.3">
      <c r="A112">
        <v>110</v>
      </c>
      <c r="B112">
        <v>9</v>
      </c>
      <c r="C112">
        <v>11</v>
      </c>
      <c r="D112">
        <v>3</v>
      </c>
      <c r="F112">
        <v>110</v>
      </c>
      <c r="G112">
        <v>14</v>
      </c>
      <c r="H112">
        <v>13</v>
      </c>
      <c r="I112">
        <v>11</v>
      </c>
      <c r="K112">
        <v>110</v>
      </c>
      <c r="L112">
        <v>10</v>
      </c>
      <c r="M112">
        <v>14</v>
      </c>
    </row>
    <row r="113" spans="1:13" x14ac:dyDescent="0.3">
      <c r="A113">
        <v>111</v>
      </c>
      <c r="B113">
        <v>10</v>
      </c>
      <c r="C113">
        <v>7</v>
      </c>
      <c r="D113">
        <v>6</v>
      </c>
      <c r="F113">
        <v>111</v>
      </c>
      <c r="G113">
        <v>18</v>
      </c>
      <c r="H113">
        <v>12</v>
      </c>
      <c r="I113">
        <v>8</v>
      </c>
      <c r="K113">
        <v>111</v>
      </c>
      <c r="L113">
        <v>14</v>
      </c>
      <c r="M113">
        <v>10</v>
      </c>
    </row>
    <row r="114" spans="1:13" x14ac:dyDescent="0.3">
      <c r="A114">
        <v>112</v>
      </c>
      <c r="B114">
        <v>8</v>
      </c>
      <c r="C114">
        <v>6</v>
      </c>
      <c r="D114">
        <v>4</v>
      </c>
      <c r="F114">
        <v>112</v>
      </c>
      <c r="G114">
        <v>23</v>
      </c>
      <c r="H114">
        <v>12</v>
      </c>
      <c r="I114">
        <v>12</v>
      </c>
      <c r="K114">
        <v>112</v>
      </c>
      <c r="L114">
        <v>16</v>
      </c>
      <c r="M114">
        <v>13</v>
      </c>
    </row>
    <row r="115" spans="1:13" x14ac:dyDescent="0.3">
      <c r="A115">
        <v>113</v>
      </c>
      <c r="B115">
        <v>10</v>
      </c>
      <c r="C115">
        <v>8</v>
      </c>
      <c r="D115">
        <v>4</v>
      </c>
      <c r="F115">
        <v>113</v>
      </c>
      <c r="G115">
        <v>22</v>
      </c>
      <c r="H115">
        <v>8</v>
      </c>
      <c r="I115">
        <v>8</v>
      </c>
      <c r="K115">
        <v>113</v>
      </c>
      <c r="L115">
        <v>13</v>
      </c>
      <c r="M115">
        <v>8</v>
      </c>
    </row>
    <row r="116" spans="1:13" x14ac:dyDescent="0.3">
      <c r="A116">
        <v>114</v>
      </c>
      <c r="B116">
        <v>12</v>
      </c>
      <c r="C116">
        <v>7</v>
      </c>
      <c r="D116">
        <v>2</v>
      </c>
      <c r="F116">
        <v>114</v>
      </c>
      <c r="G116">
        <v>17</v>
      </c>
      <c r="H116">
        <v>14</v>
      </c>
      <c r="I116">
        <v>12</v>
      </c>
      <c r="K116">
        <v>114</v>
      </c>
      <c r="L116">
        <v>13</v>
      </c>
      <c r="M116">
        <v>10</v>
      </c>
    </row>
    <row r="117" spans="1:13" x14ac:dyDescent="0.3">
      <c r="A117">
        <v>115</v>
      </c>
      <c r="B117">
        <v>12</v>
      </c>
      <c r="C117">
        <v>7</v>
      </c>
      <c r="D117">
        <v>4</v>
      </c>
      <c r="F117">
        <v>115</v>
      </c>
      <c r="G117">
        <v>24</v>
      </c>
      <c r="H117">
        <v>12</v>
      </c>
      <c r="I117">
        <v>17</v>
      </c>
      <c r="K117">
        <v>115</v>
      </c>
      <c r="L117">
        <v>20</v>
      </c>
      <c r="M117">
        <v>13</v>
      </c>
    </row>
    <row r="118" spans="1:13" x14ac:dyDescent="0.3">
      <c r="A118">
        <v>116</v>
      </c>
      <c r="B118">
        <v>16</v>
      </c>
      <c r="C118">
        <v>8</v>
      </c>
      <c r="D118">
        <v>0</v>
      </c>
      <c r="F118">
        <v>116</v>
      </c>
      <c r="G118">
        <v>19</v>
      </c>
      <c r="H118">
        <v>12</v>
      </c>
      <c r="I118">
        <v>8</v>
      </c>
      <c r="K118">
        <v>116</v>
      </c>
      <c r="L118">
        <v>20</v>
      </c>
      <c r="M118">
        <v>8</v>
      </c>
    </row>
    <row r="119" spans="1:13" x14ac:dyDescent="0.3">
      <c r="A119">
        <v>117</v>
      </c>
      <c r="B119">
        <v>14</v>
      </c>
      <c r="C119">
        <v>6</v>
      </c>
      <c r="D119">
        <v>0</v>
      </c>
      <c r="F119">
        <v>117</v>
      </c>
      <c r="G119">
        <v>21</v>
      </c>
      <c r="H119">
        <v>9</v>
      </c>
      <c r="I119">
        <v>8</v>
      </c>
      <c r="K119">
        <v>117</v>
      </c>
      <c r="L119">
        <v>20</v>
      </c>
      <c r="M119">
        <v>11</v>
      </c>
    </row>
    <row r="120" spans="1:13" x14ac:dyDescent="0.3">
      <c r="A120">
        <v>118</v>
      </c>
      <c r="B120">
        <v>10</v>
      </c>
      <c r="C120">
        <v>8</v>
      </c>
      <c r="D120">
        <v>0</v>
      </c>
      <c r="F120">
        <v>118</v>
      </c>
      <c r="G120">
        <v>19</v>
      </c>
      <c r="H120">
        <v>11</v>
      </c>
      <c r="I120">
        <v>14</v>
      </c>
      <c r="K120">
        <v>118</v>
      </c>
      <c r="L120">
        <v>18</v>
      </c>
      <c r="M120">
        <v>11</v>
      </c>
    </row>
    <row r="121" spans="1:13" x14ac:dyDescent="0.3">
      <c r="A121">
        <v>119</v>
      </c>
      <c r="B121">
        <v>12</v>
      </c>
      <c r="C121">
        <v>6</v>
      </c>
      <c r="D121">
        <v>0</v>
      </c>
      <c r="F121">
        <v>119</v>
      </c>
      <c r="G121">
        <v>23</v>
      </c>
      <c r="H121">
        <v>10</v>
      </c>
      <c r="I121">
        <v>7</v>
      </c>
      <c r="K121">
        <v>119</v>
      </c>
      <c r="L121">
        <v>21</v>
      </c>
      <c r="M121">
        <v>9</v>
      </c>
    </row>
    <row r="122" spans="1:13" x14ac:dyDescent="0.3">
      <c r="A122">
        <v>120</v>
      </c>
      <c r="B122">
        <v>15</v>
      </c>
      <c r="C122">
        <v>4</v>
      </c>
      <c r="D122">
        <v>5</v>
      </c>
      <c r="F122">
        <v>120</v>
      </c>
      <c r="G122">
        <v>21</v>
      </c>
      <c r="H122">
        <v>13</v>
      </c>
      <c r="I122">
        <v>8</v>
      </c>
      <c r="K122">
        <v>120</v>
      </c>
      <c r="L122">
        <v>17</v>
      </c>
      <c r="M122">
        <v>8</v>
      </c>
    </row>
    <row r="123" spans="1:13" x14ac:dyDescent="0.3">
      <c r="A123">
        <v>121</v>
      </c>
      <c r="B123">
        <v>13</v>
      </c>
      <c r="C123">
        <v>9</v>
      </c>
      <c r="D123">
        <v>4</v>
      </c>
      <c r="F123">
        <v>121</v>
      </c>
      <c r="G123">
        <v>13</v>
      </c>
      <c r="H123">
        <v>13</v>
      </c>
      <c r="I123">
        <v>9</v>
      </c>
      <c r="K123">
        <v>121</v>
      </c>
      <c r="L123">
        <v>13</v>
      </c>
      <c r="M123">
        <v>10</v>
      </c>
    </row>
    <row r="124" spans="1:13" x14ac:dyDescent="0.3">
      <c r="A124">
        <v>122</v>
      </c>
      <c r="B124">
        <v>13</v>
      </c>
      <c r="C124">
        <v>3</v>
      </c>
      <c r="D124">
        <v>2</v>
      </c>
      <c r="F124">
        <v>122</v>
      </c>
      <c r="G124">
        <v>17</v>
      </c>
      <c r="H124">
        <v>10</v>
      </c>
      <c r="I124">
        <v>8</v>
      </c>
      <c r="K124">
        <v>122</v>
      </c>
      <c r="L124">
        <v>14</v>
      </c>
      <c r="M124">
        <v>9</v>
      </c>
    </row>
    <row r="125" spans="1:13" x14ac:dyDescent="0.3">
      <c r="A125">
        <v>123</v>
      </c>
      <c r="B125">
        <v>12</v>
      </c>
      <c r="C125">
        <v>2</v>
      </c>
      <c r="D125">
        <v>2</v>
      </c>
      <c r="F125">
        <v>123</v>
      </c>
      <c r="G125">
        <v>18</v>
      </c>
      <c r="H125">
        <v>8</v>
      </c>
      <c r="I125">
        <v>9</v>
      </c>
      <c r="K125">
        <v>123</v>
      </c>
      <c r="L125">
        <v>13</v>
      </c>
      <c r="M125">
        <v>5</v>
      </c>
    </row>
    <row r="126" spans="1:13" x14ac:dyDescent="0.3">
      <c r="A126">
        <v>124</v>
      </c>
      <c r="B126">
        <v>7</v>
      </c>
      <c r="C126">
        <v>7</v>
      </c>
      <c r="D126">
        <v>3</v>
      </c>
      <c r="F126">
        <v>124</v>
      </c>
      <c r="G126">
        <v>22</v>
      </c>
      <c r="H126">
        <v>13</v>
      </c>
      <c r="I126">
        <v>9</v>
      </c>
      <c r="K126">
        <v>124</v>
      </c>
      <c r="L126">
        <v>12</v>
      </c>
      <c r="M126">
        <v>9</v>
      </c>
    </row>
    <row r="127" spans="1:13" x14ac:dyDescent="0.3">
      <c r="A127">
        <v>125</v>
      </c>
      <c r="B127">
        <v>10</v>
      </c>
      <c r="C127">
        <v>3</v>
      </c>
      <c r="D127">
        <v>3</v>
      </c>
      <c r="F127">
        <v>125</v>
      </c>
      <c r="G127">
        <v>21</v>
      </c>
      <c r="H127">
        <v>9</v>
      </c>
      <c r="I127">
        <v>8</v>
      </c>
      <c r="K127">
        <v>125</v>
      </c>
      <c r="L127">
        <v>15</v>
      </c>
      <c r="M127">
        <v>13</v>
      </c>
    </row>
    <row r="128" spans="1:13" x14ac:dyDescent="0.3">
      <c r="A128">
        <v>126</v>
      </c>
      <c r="B128">
        <v>11</v>
      </c>
      <c r="C128">
        <v>11</v>
      </c>
      <c r="D128">
        <v>3</v>
      </c>
      <c r="F128">
        <v>126</v>
      </c>
      <c r="G128">
        <v>19</v>
      </c>
      <c r="H128">
        <v>11</v>
      </c>
      <c r="I128">
        <v>11</v>
      </c>
      <c r="K128">
        <v>126</v>
      </c>
      <c r="L128">
        <v>15</v>
      </c>
      <c r="M128">
        <v>9</v>
      </c>
    </row>
    <row r="129" spans="1:13" x14ac:dyDescent="0.3">
      <c r="A129">
        <v>127</v>
      </c>
      <c r="B129">
        <v>14</v>
      </c>
      <c r="C129">
        <v>7</v>
      </c>
      <c r="D129">
        <v>7</v>
      </c>
      <c r="F129">
        <v>127</v>
      </c>
      <c r="G129">
        <v>24</v>
      </c>
      <c r="H129">
        <v>9</v>
      </c>
      <c r="I129">
        <v>16</v>
      </c>
      <c r="K129">
        <v>127</v>
      </c>
      <c r="L129">
        <v>18</v>
      </c>
      <c r="M129">
        <v>10</v>
      </c>
    </row>
    <row r="130" spans="1:13" x14ac:dyDescent="0.3">
      <c r="A130">
        <v>128</v>
      </c>
      <c r="B130">
        <v>14</v>
      </c>
      <c r="C130">
        <v>11</v>
      </c>
      <c r="D130">
        <v>4</v>
      </c>
      <c r="F130">
        <v>128</v>
      </c>
      <c r="G130">
        <v>25</v>
      </c>
      <c r="H130">
        <v>13</v>
      </c>
      <c r="I130">
        <v>9</v>
      </c>
      <c r="K130">
        <v>128</v>
      </c>
      <c r="L130">
        <v>17</v>
      </c>
      <c r="M130">
        <v>4</v>
      </c>
    </row>
    <row r="131" spans="1:13" x14ac:dyDescent="0.3">
      <c r="A131">
        <v>129</v>
      </c>
      <c r="B131">
        <v>16</v>
      </c>
      <c r="C131">
        <v>8</v>
      </c>
      <c r="D131">
        <v>5</v>
      </c>
      <c r="F131">
        <v>129</v>
      </c>
      <c r="G131">
        <v>26</v>
      </c>
      <c r="H131">
        <v>9</v>
      </c>
      <c r="I131">
        <v>7</v>
      </c>
      <c r="K131">
        <v>129</v>
      </c>
      <c r="L131">
        <v>19</v>
      </c>
      <c r="M131">
        <v>3</v>
      </c>
    </row>
    <row r="132" spans="1:13" x14ac:dyDescent="0.3">
      <c r="A132">
        <v>130</v>
      </c>
      <c r="B132">
        <v>15</v>
      </c>
      <c r="C132">
        <v>11</v>
      </c>
      <c r="D132">
        <v>1</v>
      </c>
      <c r="F132">
        <v>130</v>
      </c>
      <c r="G132">
        <v>20</v>
      </c>
      <c r="H132">
        <v>8</v>
      </c>
      <c r="I132">
        <v>8</v>
      </c>
      <c r="K132">
        <v>130</v>
      </c>
      <c r="L132">
        <v>14</v>
      </c>
      <c r="M132">
        <v>2</v>
      </c>
    </row>
    <row r="133" spans="1:13" x14ac:dyDescent="0.3">
      <c r="A133">
        <v>131</v>
      </c>
      <c r="B133">
        <v>14</v>
      </c>
      <c r="C133">
        <v>10</v>
      </c>
      <c r="D133">
        <v>1</v>
      </c>
      <c r="F133">
        <v>131</v>
      </c>
      <c r="G133">
        <v>27</v>
      </c>
      <c r="H133">
        <v>9</v>
      </c>
      <c r="I133">
        <v>15</v>
      </c>
      <c r="K133">
        <v>131</v>
      </c>
      <c r="L133">
        <v>17</v>
      </c>
      <c r="M133">
        <v>10</v>
      </c>
    </row>
    <row r="134" spans="1:13" x14ac:dyDescent="0.3">
      <c r="A134">
        <v>132</v>
      </c>
      <c r="B134">
        <v>16</v>
      </c>
      <c r="C134">
        <v>8</v>
      </c>
      <c r="D134">
        <v>4</v>
      </c>
      <c r="F134">
        <v>132</v>
      </c>
      <c r="G134">
        <v>27</v>
      </c>
      <c r="H134">
        <v>15</v>
      </c>
      <c r="I134">
        <v>9</v>
      </c>
      <c r="K134">
        <v>132</v>
      </c>
      <c r="L134">
        <v>17</v>
      </c>
      <c r="M134">
        <v>9</v>
      </c>
    </row>
    <row r="135" spans="1:13" x14ac:dyDescent="0.3">
      <c r="A135">
        <v>133</v>
      </c>
      <c r="B135">
        <v>13</v>
      </c>
      <c r="C135">
        <v>8</v>
      </c>
      <c r="D135">
        <v>1</v>
      </c>
      <c r="F135">
        <v>133</v>
      </c>
      <c r="G135">
        <v>18</v>
      </c>
      <c r="H135">
        <v>8</v>
      </c>
      <c r="I135">
        <v>11</v>
      </c>
      <c r="K135">
        <v>133</v>
      </c>
      <c r="L135">
        <v>13</v>
      </c>
      <c r="M135">
        <v>12</v>
      </c>
    </row>
    <row r="136" spans="1:13" x14ac:dyDescent="0.3">
      <c r="A136">
        <v>134</v>
      </c>
      <c r="B136">
        <v>10</v>
      </c>
      <c r="C136">
        <v>7</v>
      </c>
      <c r="D136">
        <v>2</v>
      </c>
      <c r="F136">
        <v>134</v>
      </c>
      <c r="G136">
        <v>17</v>
      </c>
      <c r="H136">
        <v>7</v>
      </c>
      <c r="I136">
        <v>5</v>
      </c>
      <c r="K136">
        <v>134</v>
      </c>
      <c r="L136">
        <v>16</v>
      </c>
      <c r="M136">
        <v>12</v>
      </c>
    </row>
    <row r="137" spans="1:13" x14ac:dyDescent="0.3">
      <c r="A137">
        <v>135</v>
      </c>
      <c r="B137">
        <v>11</v>
      </c>
      <c r="C137">
        <v>12</v>
      </c>
      <c r="D137">
        <v>3</v>
      </c>
      <c r="F137">
        <v>135</v>
      </c>
      <c r="G137">
        <v>12</v>
      </c>
      <c r="H137">
        <v>12</v>
      </c>
      <c r="I137">
        <v>3</v>
      </c>
      <c r="K137">
        <v>135</v>
      </c>
      <c r="L137">
        <v>12</v>
      </c>
      <c r="M137">
        <v>13</v>
      </c>
    </row>
    <row r="138" spans="1:13" x14ac:dyDescent="0.3">
      <c r="A138">
        <v>136</v>
      </c>
      <c r="B138">
        <v>11</v>
      </c>
      <c r="C138">
        <v>4</v>
      </c>
      <c r="D138">
        <v>0</v>
      </c>
      <c r="F138">
        <v>136</v>
      </c>
      <c r="G138">
        <v>19</v>
      </c>
      <c r="H138">
        <v>12</v>
      </c>
      <c r="I138">
        <v>10</v>
      </c>
      <c r="K138">
        <v>136</v>
      </c>
      <c r="L138">
        <v>15</v>
      </c>
      <c r="M138">
        <v>4</v>
      </c>
    </row>
    <row r="139" spans="1:13" x14ac:dyDescent="0.3">
      <c r="A139">
        <v>137</v>
      </c>
      <c r="B139">
        <v>8</v>
      </c>
      <c r="C139">
        <v>6</v>
      </c>
      <c r="D139">
        <v>1</v>
      </c>
      <c r="F139">
        <v>137</v>
      </c>
      <c r="G139">
        <v>17</v>
      </c>
      <c r="H139">
        <v>11</v>
      </c>
      <c r="I139">
        <v>12</v>
      </c>
      <c r="K139">
        <v>137</v>
      </c>
      <c r="L139">
        <v>12</v>
      </c>
      <c r="M139">
        <v>0</v>
      </c>
    </row>
    <row r="140" spans="1:13" x14ac:dyDescent="0.3">
      <c r="A140">
        <v>138</v>
      </c>
      <c r="B140">
        <v>11</v>
      </c>
      <c r="C140">
        <v>11</v>
      </c>
      <c r="D140">
        <v>3</v>
      </c>
      <c r="F140">
        <v>138</v>
      </c>
      <c r="G140">
        <v>20</v>
      </c>
      <c r="H140">
        <v>9</v>
      </c>
      <c r="I140">
        <v>11</v>
      </c>
      <c r="K140">
        <v>138</v>
      </c>
      <c r="L140">
        <v>14</v>
      </c>
      <c r="M140">
        <v>9</v>
      </c>
    </row>
    <row r="141" spans="1:13" x14ac:dyDescent="0.3">
      <c r="A141">
        <v>139</v>
      </c>
      <c r="B141">
        <v>13</v>
      </c>
      <c r="C141">
        <v>5</v>
      </c>
      <c r="D141">
        <v>5</v>
      </c>
      <c r="F141">
        <v>139</v>
      </c>
      <c r="G141">
        <v>26</v>
      </c>
      <c r="H141">
        <v>11</v>
      </c>
      <c r="I141">
        <v>12</v>
      </c>
      <c r="K141">
        <v>139</v>
      </c>
      <c r="L141">
        <v>14</v>
      </c>
      <c r="M141">
        <v>6</v>
      </c>
    </row>
    <row r="142" spans="1:13" x14ac:dyDescent="0.3">
      <c r="A142">
        <v>140</v>
      </c>
      <c r="B142">
        <v>12</v>
      </c>
      <c r="C142">
        <v>11</v>
      </c>
      <c r="D142">
        <v>5</v>
      </c>
      <c r="F142">
        <v>140</v>
      </c>
      <c r="G142">
        <v>21</v>
      </c>
      <c r="H142">
        <v>7</v>
      </c>
      <c r="I142">
        <v>15</v>
      </c>
      <c r="K142">
        <v>140</v>
      </c>
      <c r="L142">
        <v>18</v>
      </c>
      <c r="M142">
        <v>9</v>
      </c>
    </row>
    <row r="143" spans="1:13" x14ac:dyDescent="0.3">
      <c r="A143">
        <v>141</v>
      </c>
      <c r="B143">
        <v>16</v>
      </c>
      <c r="C143">
        <v>12</v>
      </c>
      <c r="D143">
        <v>1</v>
      </c>
      <c r="F143">
        <v>141</v>
      </c>
      <c r="G143">
        <v>25</v>
      </c>
      <c r="H143">
        <v>11</v>
      </c>
      <c r="I143">
        <v>9</v>
      </c>
      <c r="K143">
        <v>141</v>
      </c>
      <c r="L143">
        <v>21</v>
      </c>
      <c r="M143">
        <v>9</v>
      </c>
    </row>
    <row r="144" spans="1:13" x14ac:dyDescent="0.3">
      <c r="A144">
        <v>142</v>
      </c>
      <c r="B144">
        <v>15</v>
      </c>
      <c r="C144">
        <v>9</v>
      </c>
      <c r="D144">
        <v>6</v>
      </c>
      <c r="F144">
        <v>142</v>
      </c>
      <c r="G144">
        <v>20</v>
      </c>
      <c r="H144">
        <v>10</v>
      </c>
      <c r="I144">
        <v>12</v>
      </c>
      <c r="K144">
        <v>142</v>
      </c>
      <c r="L144">
        <v>18</v>
      </c>
      <c r="M144">
        <v>12</v>
      </c>
    </row>
    <row r="145" spans="1:13" x14ac:dyDescent="0.3">
      <c r="A145">
        <v>143</v>
      </c>
      <c r="B145">
        <v>19</v>
      </c>
      <c r="C145">
        <v>11</v>
      </c>
      <c r="D145">
        <v>4</v>
      </c>
      <c r="F145">
        <v>143</v>
      </c>
      <c r="G145">
        <v>34</v>
      </c>
      <c r="H145">
        <v>10</v>
      </c>
      <c r="I145">
        <v>5</v>
      </c>
      <c r="K145">
        <v>143</v>
      </c>
      <c r="L145">
        <v>19</v>
      </c>
      <c r="M145">
        <v>12</v>
      </c>
    </row>
    <row r="146" spans="1:13" x14ac:dyDescent="0.3">
      <c r="A146">
        <v>144</v>
      </c>
      <c r="B146">
        <v>14</v>
      </c>
      <c r="C146">
        <v>5</v>
      </c>
      <c r="D146">
        <v>5</v>
      </c>
      <c r="F146">
        <v>144</v>
      </c>
      <c r="G146">
        <v>32</v>
      </c>
      <c r="H146">
        <v>13</v>
      </c>
      <c r="I146">
        <v>10</v>
      </c>
      <c r="K146">
        <v>144</v>
      </c>
      <c r="L146">
        <v>18</v>
      </c>
      <c r="M146">
        <v>6</v>
      </c>
    </row>
    <row r="147" spans="1:13" x14ac:dyDescent="0.3">
      <c r="A147">
        <v>145</v>
      </c>
      <c r="B147">
        <v>16</v>
      </c>
      <c r="C147">
        <v>5</v>
      </c>
      <c r="D147">
        <v>5</v>
      </c>
      <c r="F147">
        <v>145</v>
      </c>
      <c r="G147">
        <v>22</v>
      </c>
      <c r="H147">
        <v>12</v>
      </c>
      <c r="I147">
        <v>12</v>
      </c>
      <c r="K147">
        <v>145</v>
      </c>
      <c r="L147">
        <v>18</v>
      </c>
      <c r="M147">
        <v>15</v>
      </c>
    </row>
    <row r="148" spans="1:13" x14ac:dyDescent="0.3">
      <c r="A148">
        <v>146</v>
      </c>
      <c r="B148">
        <v>14</v>
      </c>
      <c r="C148">
        <v>11</v>
      </c>
      <c r="D148">
        <v>1</v>
      </c>
      <c r="F148">
        <v>146</v>
      </c>
      <c r="G148">
        <v>20</v>
      </c>
      <c r="H148">
        <v>11</v>
      </c>
      <c r="I148">
        <v>5</v>
      </c>
      <c r="K148">
        <v>146</v>
      </c>
      <c r="L148">
        <v>15</v>
      </c>
      <c r="M148">
        <v>3</v>
      </c>
    </row>
    <row r="149" spans="1:13" x14ac:dyDescent="0.3">
      <c r="A149">
        <v>147</v>
      </c>
      <c r="B149">
        <v>13</v>
      </c>
      <c r="C149">
        <v>12</v>
      </c>
      <c r="D149">
        <v>4</v>
      </c>
      <c r="F149">
        <v>147</v>
      </c>
      <c r="G149">
        <v>19</v>
      </c>
      <c r="H149">
        <v>10</v>
      </c>
      <c r="I149">
        <v>11</v>
      </c>
      <c r="K149">
        <v>147</v>
      </c>
      <c r="L149">
        <v>16</v>
      </c>
      <c r="M149">
        <v>12</v>
      </c>
    </row>
    <row r="150" spans="1:13" x14ac:dyDescent="0.3">
      <c r="A150">
        <v>148</v>
      </c>
      <c r="B150">
        <v>10</v>
      </c>
      <c r="C150">
        <v>8</v>
      </c>
      <c r="D150">
        <v>4</v>
      </c>
      <c r="F150">
        <v>148</v>
      </c>
      <c r="G150">
        <v>17</v>
      </c>
      <c r="H150">
        <v>14</v>
      </c>
      <c r="I150">
        <v>13</v>
      </c>
      <c r="K150">
        <v>148</v>
      </c>
      <c r="L150">
        <v>15</v>
      </c>
      <c r="M150">
        <v>11</v>
      </c>
    </row>
    <row r="151" spans="1:13" x14ac:dyDescent="0.3">
      <c r="A151">
        <v>149</v>
      </c>
      <c r="B151">
        <v>12</v>
      </c>
      <c r="C151">
        <v>12</v>
      </c>
      <c r="D151">
        <v>5</v>
      </c>
      <c r="F151">
        <v>149</v>
      </c>
      <c r="G151">
        <v>15</v>
      </c>
      <c r="H151">
        <v>9</v>
      </c>
      <c r="I151">
        <v>6</v>
      </c>
      <c r="K151">
        <v>149</v>
      </c>
      <c r="L151">
        <v>13</v>
      </c>
      <c r="M151">
        <v>9</v>
      </c>
    </row>
    <row r="152" spans="1:13" x14ac:dyDescent="0.3">
      <c r="A152">
        <v>150</v>
      </c>
      <c r="B152">
        <v>10</v>
      </c>
      <c r="C152">
        <v>8</v>
      </c>
      <c r="D152">
        <v>4</v>
      </c>
      <c r="F152">
        <v>150</v>
      </c>
      <c r="G152">
        <v>26</v>
      </c>
      <c r="H152">
        <v>6</v>
      </c>
      <c r="I152">
        <v>8</v>
      </c>
      <c r="K152">
        <v>150</v>
      </c>
      <c r="L152">
        <v>14</v>
      </c>
      <c r="M152">
        <v>7</v>
      </c>
    </row>
    <row r="153" spans="1:13" x14ac:dyDescent="0.3">
      <c r="A153">
        <v>151</v>
      </c>
      <c r="B153">
        <v>10</v>
      </c>
      <c r="C153">
        <v>11</v>
      </c>
      <c r="D153">
        <v>5</v>
      </c>
      <c r="F153">
        <v>151</v>
      </c>
      <c r="G153">
        <v>28</v>
      </c>
      <c r="H153">
        <v>12</v>
      </c>
      <c r="I153">
        <v>12</v>
      </c>
      <c r="K153">
        <v>151</v>
      </c>
      <c r="L153">
        <v>14</v>
      </c>
      <c r="M153">
        <v>12</v>
      </c>
    </row>
    <row r="154" spans="1:13" x14ac:dyDescent="0.3">
      <c r="A154">
        <v>152</v>
      </c>
      <c r="B154">
        <v>9</v>
      </c>
      <c r="C154">
        <v>3</v>
      </c>
      <c r="D154">
        <v>4</v>
      </c>
      <c r="F154">
        <v>152</v>
      </c>
      <c r="G154">
        <v>23</v>
      </c>
      <c r="H154">
        <v>11</v>
      </c>
      <c r="I154">
        <v>9</v>
      </c>
      <c r="K154">
        <v>152</v>
      </c>
      <c r="L154">
        <v>15</v>
      </c>
      <c r="M154">
        <v>8</v>
      </c>
    </row>
    <row r="155" spans="1:13" x14ac:dyDescent="0.3">
      <c r="A155">
        <v>153</v>
      </c>
      <c r="B155">
        <v>16</v>
      </c>
      <c r="C155">
        <v>5</v>
      </c>
      <c r="D155">
        <v>0</v>
      </c>
      <c r="F155">
        <v>153</v>
      </c>
      <c r="G155">
        <v>18</v>
      </c>
      <c r="H155">
        <v>10</v>
      </c>
      <c r="I155">
        <v>13</v>
      </c>
      <c r="K155">
        <v>153</v>
      </c>
      <c r="L155">
        <v>15</v>
      </c>
      <c r="M155">
        <v>14</v>
      </c>
    </row>
    <row r="156" spans="1:13" x14ac:dyDescent="0.3">
      <c r="A156">
        <v>154</v>
      </c>
      <c r="B156">
        <v>12</v>
      </c>
      <c r="C156">
        <v>5</v>
      </c>
      <c r="D156">
        <v>4</v>
      </c>
      <c r="F156">
        <v>154</v>
      </c>
      <c r="G156">
        <v>21</v>
      </c>
      <c r="H156">
        <v>12</v>
      </c>
      <c r="I156">
        <v>10</v>
      </c>
      <c r="K156">
        <v>154</v>
      </c>
      <c r="L156">
        <v>16</v>
      </c>
      <c r="M156">
        <v>9</v>
      </c>
    </row>
    <row r="157" spans="1:13" x14ac:dyDescent="0.3">
      <c r="A157">
        <v>155</v>
      </c>
      <c r="B157">
        <v>16</v>
      </c>
      <c r="C157">
        <v>11</v>
      </c>
      <c r="D157">
        <v>5</v>
      </c>
      <c r="F157">
        <v>155</v>
      </c>
      <c r="G157">
        <v>29</v>
      </c>
      <c r="H157">
        <v>9</v>
      </c>
      <c r="I157">
        <v>7</v>
      </c>
      <c r="K157">
        <v>155</v>
      </c>
      <c r="L157">
        <v>18</v>
      </c>
      <c r="M157">
        <v>12</v>
      </c>
    </row>
    <row r="158" spans="1:13" x14ac:dyDescent="0.3">
      <c r="A158">
        <v>156</v>
      </c>
      <c r="B158">
        <v>14</v>
      </c>
      <c r="C158">
        <v>11</v>
      </c>
      <c r="D158">
        <v>1</v>
      </c>
      <c r="F158">
        <v>156</v>
      </c>
      <c r="G158">
        <v>28</v>
      </c>
      <c r="H158">
        <v>12</v>
      </c>
      <c r="I158">
        <v>10</v>
      </c>
      <c r="K158">
        <v>156</v>
      </c>
      <c r="L158">
        <v>18</v>
      </c>
      <c r="M158">
        <v>12</v>
      </c>
    </row>
    <row r="159" spans="1:13" x14ac:dyDescent="0.3">
      <c r="A159">
        <v>157</v>
      </c>
      <c r="B159">
        <v>17</v>
      </c>
      <c r="C159">
        <v>10</v>
      </c>
      <c r="D159">
        <v>5</v>
      </c>
      <c r="F159">
        <v>157</v>
      </c>
      <c r="G159">
        <v>25</v>
      </c>
      <c r="H159">
        <v>12</v>
      </c>
      <c r="I159">
        <v>10</v>
      </c>
      <c r="K159">
        <v>157</v>
      </c>
      <c r="L159">
        <v>16</v>
      </c>
      <c r="M159">
        <v>12</v>
      </c>
    </row>
    <row r="160" spans="1:13" x14ac:dyDescent="0.3">
      <c r="A160">
        <v>158</v>
      </c>
      <c r="B160">
        <v>15</v>
      </c>
      <c r="C160">
        <v>8</v>
      </c>
      <c r="D160">
        <v>6</v>
      </c>
      <c r="F160">
        <v>158</v>
      </c>
      <c r="G160">
        <v>18</v>
      </c>
      <c r="H160">
        <v>10</v>
      </c>
      <c r="I160">
        <v>12</v>
      </c>
      <c r="K160">
        <v>158</v>
      </c>
      <c r="L160">
        <v>20</v>
      </c>
      <c r="M160">
        <v>7</v>
      </c>
    </row>
    <row r="161" spans="1:13" x14ac:dyDescent="0.3">
      <c r="A161">
        <v>159</v>
      </c>
      <c r="B161">
        <v>14</v>
      </c>
      <c r="C161">
        <v>14</v>
      </c>
      <c r="D161">
        <v>1</v>
      </c>
      <c r="F161">
        <v>159</v>
      </c>
      <c r="G161">
        <v>22</v>
      </c>
      <c r="H161">
        <v>10</v>
      </c>
      <c r="I161">
        <v>10</v>
      </c>
      <c r="K161">
        <v>159</v>
      </c>
      <c r="L161">
        <v>17</v>
      </c>
      <c r="M161">
        <v>10</v>
      </c>
    </row>
    <row r="162" spans="1:13" x14ac:dyDescent="0.3">
      <c r="A162">
        <v>160</v>
      </c>
      <c r="B162">
        <v>14</v>
      </c>
      <c r="C162">
        <v>6</v>
      </c>
      <c r="D162">
        <v>3</v>
      </c>
      <c r="F162">
        <v>160</v>
      </c>
      <c r="G162">
        <v>21</v>
      </c>
      <c r="H162">
        <v>10</v>
      </c>
      <c r="I162">
        <v>14</v>
      </c>
      <c r="K162">
        <v>160</v>
      </c>
      <c r="L162">
        <v>13</v>
      </c>
      <c r="M162">
        <v>14</v>
      </c>
    </row>
    <row r="163" spans="1:13" x14ac:dyDescent="0.3">
      <c r="A163">
        <v>161</v>
      </c>
      <c r="B163">
        <v>11</v>
      </c>
      <c r="C163">
        <v>9</v>
      </c>
      <c r="D163">
        <v>3</v>
      </c>
      <c r="F163">
        <v>161</v>
      </c>
      <c r="G163">
        <v>23</v>
      </c>
      <c r="H163">
        <v>11</v>
      </c>
      <c r="I163">
        <v>9</v>
      </c>
      <c r="K163">
        <v>161</v>
      </c>
      <c r="L163">
        <v>14</v>
      </c>
      <c r="M163">
        <v>10</v>
      </c>
    </row>
    <row r="164" spans="1:13" x14ac:dyDescent="0.3">
      <c r="A164">
        <v>162</v>
      </c>
      <c r="B164">
        <v>10</v>
      </c>
      <c r="C164">
        <v>14</v>
      </c>
      <c r="D164">
        <v>3</v>
      </c>
      <c r="F164">
        <v>162</v>
      </c>
      <c r="G164">
        <v>19</v>
      </c>
      <c r="H164">
        <v>10</v>
      </c>
      <c r="I164">
        <v>10</v>
      </c>
      <c r="K164">
        <v>162</v>
      </c>
      <c r="L164">
        <v>13</v>
      </c>
      <c r="M164">
        <v>4</v>
      </c>
    </row>
    <row r="165" spans="1:13" x14ac:dyDescent="0.3">
      <c r="A165">
        <v>163</v>
      </c>
      <c r="B165">
        <v>13</v>
      </c>
      <c r="C165">
        <v>4</v>
      </c>
      <c r="D165">
        <v>2</v>
      </c>
      <c r="F165">
        <v>163</v>
      </c>
      <c r="G165">
        <v>19</v>
      </c>
      <c r="H165">
        <v>10</v>
      </c>
      <c r="I165">
        <v>9</v>
      </c>
      <c r="K165">
        <v>163</v>
      </c>
      <c r="L165">
        <v>14</v>
      </c>
      <c r="M165">
        <v>11</v>
      </c>
    </row>
    <row r="166" spans="1:13" x14ac:dyDescent="0.3">
      <c r="A166">
        <v>164</v>
      </c>
      <c r="B166">
        <v>11</v>
      </c>
      <c r="C166">
        <v>6</v>
      </c>
      <c r="D166">
        <v>5</v>
      </c>
      <c r="F166">
        <v>164</v>
      </c>
      <c r="G166">
        <v>20</v>
      </c>
      <c r="H166">
        <v>10</v>
      </c>
      <c r="I166">
        <v>12</v>
      </c>
      <c r="K166">
        <v>164</v>
      </c>
      <c r="L166">
        <v>14</v>
      </c>
      <c r="M166">
        <v>5</v>
      </c>
    </row>
    <row r="167" spans="1:13" x14ac:dyDescent="0.3">
      <c r="A167">
        <v>165</v>
      </c>
      <c r="B167">
        <v>15</v>
      </c>
      <c r="C167">
        <v>10</v>
      </c>
      <c r="D167">
        <v>6</v>
      </c>
      <c r="F167">
        <v>165</v>
      </c>
      <c r="G167">
        <v>16</v>
      </c>
      <c r="H167">
        <v>11</v>
      </c>
      <c r="I167">
        <v>9</v>
      </c>
      <c r="K167">
        <v>165</v>
      </c>
      <c r="L167">
        <v>17</v>
      </c>
      <c r="M167">
        <v>4</v>
      </c>
    </row>
    <row r="168" spans="1:13" x14ac:dyDescent="0.3">
      <c r="A168">
        <v>166</v>
      </c>
      <c r="B168">
        <v>13</v>
      </c>
      <c r="C168">
        <v>9</v>
      </c>
      <c r="D168">
        <v>2</v>
      </c>
      <c r="F168">
        <v>166</v>
      </c>
      <c r="G168">
        <v>21</v>
      </c>
      <c r="H168">
        <v>11</v>
      </c>
      <c r="I168">
        <v>4</v>
      </c>
      <c r="K168">
        <v>166</v>
      </c>
      <c r="L168">
        <v>19</v>
      </c>
      <c r="M168">
        <v>9</v>
      </c>
    </row>
    <row r="169" spans="1:13" x14ac:dyDescent="0.3">
      <c r="A169">
        <v>167</v>
      </c>
      <c r="B169">
        <v>13</v>
      </c>
      <c r="C169">
        <v>9</v>
      </c>
      <c r="D169">
        <v>4</v>
      </c>
      <c r="F169">
        <v>167</v>
      </c>
      <c r="G169">
        <v>25</v>
      </c>
      <c r="H169">
        <v>12</v>
      </c>
      <c r="I169">
        <v>18</v>
      </c>
      <c r="K169">
        <v>167</v>
      </c>
      <c r="L169">
        <v>18</v>
      </c>
      <c r="M169">
        <v>10</v>
      </c>
    </row>
    <row r="170" spans="1:13" x14ac:dyDescent="0.3">
      <c r="A170">
        <v>168</v>
      </c>
      <c r="B170">
        <v>17</v>
      </c>
      <c r="C170">
        <v>10</v>
      </c>
      <c r="D170">
        <v>3</v>
      </c>
      <c r="F170">
        <v>168</v>
      </c>
      <c r="G170">
        <v>17</v>
      </c>
      <c r="H170">
        <v>10</v>
      </c>
      <c r="I170">
        <v>12</v>
      </c>
      <c r="K170">
        <v>168</v>
      </c>
      <c r="L170">
        <v>17</v>
      </c>
      <c r="M170">
        <v>12</v>
      </c>
    </row>
    <row r="171" spans="1:13" x14ac:dyDescent="0.3">
      <c r="A171">
        <v>169</v>
      </c>
      <c r="B171">
        <v>19</v>
      </c>
      <c r="C171">
        <v>4</v>
      </c>
      <c r="D171">
        <v>1</v>
      </c>
      <c r="F171">
        <v>169</v>
      </c>
      <c r="G171">
        <v>26</v>
      </c>
      <c r="H171">
        <v>11</v>
      </c>
      <c r="I171">
        <v>7</v>
      </c>
      <c r="K171">
        <v>169</v>
      </c>
      <c r="L171">
        <v>18</v>
      </c>
      <c r="M171">
        <v>3</v>
      </c>
    </row>
    <row r="172" spans="1:13" x14ac:dyDescent="0.3">
      <c r="A172">
        <v>170</v>
      </c>
      <c r="B172">
        <v>18</v>
      </c>
      <c r="C172">
        <v>14</v>
      </c>
      <c r="D172">
        <v>2</v>
      </c>
      <c r="F172">
        <v>170</v>
      </c>
      <c r="G172">
        <v>33</v>
      </c>
      <c r="H172">
        <v>11</v>
      </c>
      <c r="I172">
        <v>13</v>
      </c>
      <c r="K172">
        <v>170</v>
      </c>
      <c r="L172">
        <v>17</v>
      </c>
      <c r="M172">
        <v>9</v>
      </c>
    </row>
    <row r="173" spans="1:13" x14ac:dyDescent="0.3">
      <c r="A173">
        <v>171</v>
      </c>
      <c r="B173">
        <v>15</v>
      </c>
      <c r="C173">
        <v>6</v>
      </c>
      <c r="D173">
        <v>4</v>
      </c>
      <c r="F173">
        <v>171</v>
      </c>
      <c r="G173">
        <v>29</v>
      </c>
      <c r="H173">
        <v>12</v>
      </c>
      <c r="I173">
        <v>8</v>
      </c>
      <c r="K173">
        <v>171</v>
      </c>
      <c r="L173">
        <v>20</v>
      </c>
      <c r="M173">
        <v>12</v>
      </c>
    </row>
    <row r="174" spans="1:13" x14ac:dyDescent="0.3">
      <c r="A174">
        <v>172</v>
      </c>
      <c r="B174">
        <v>14</v>
      </c>
      <c r="C174">
        <v>11</v>
      </c>
      <c r="D174">
        <v>5</v>
      </c>
      <c r="F174">
        <v>172</v>
      </c>
      <c r="G174">
        <v>27</v>
      </c>
      <c r="H174">
        <v>12</v>
      </c>
      <c r="I174">
        <v>17</v>
      </c>
      <c r="K174">
        <v>172</v>
      </c>
      <c r="L174">
        <v>15</v>
      </c>
      <c r="M174">
        <v>11</v>
      </c>
    </row>
    <row r="175" spans="1:13" x14ac:dyDescent="0.3">
      <c r="A175">
        <v>173</v>
      </c>
      <c r="B175">
        <v>13</v>
      </c>
      <c r="C175">
        <v>3</v>
      </c>
      <c r="D175">
        <v>2</v>
      </c>
      <c r="F175">
        <v>173</v>
      </c>
      <c r="G175">
        <v>13</v>
      </c>
      <c r="H175">
        <v>7</v>
      </c>
      <c r="I175">
        <v>9</v>
      </c>
      <c r="K175">
        <v>173</v>
      </c>
      <c r="L175">
        <v>20</v>
      </c>
      <c r="M175">
        <v>10</v>
      </c>
    </row>
    <row r="176" spans="1:13" x14ac:dyDescent="0.3">
      <c r="A176">
        <v>174</v>
      </c>
      <c r="B176">
        <v>11</v>
      </c>
      <c r="C176">
        <v>11</v>
      </c>
      <c r="D176">
        <v>7</v>
      </c>
      <c r="F176">
        <v>174</v>
      </c>
      <c r="G176">
        <v>17</v>
      </c>
      <c r="H176">
        <v>10</v>
      </c>
      <c r="I176">
        <v>17</v>
      </c>
      <c r="K176">
        <v>174</v>
      </c>
      <c r="L176">
        <v>16</v>
      </c>
      <c r="M176">
        <v>13</v>
      </c>
    </row>
    <row r="177" spans="1:13" x14ac:dyDescent="0.3">
      <c r="A177">
        <v>175</v>
      </c>
      <c r="B177">
        <v>13</v>
      </c>
      <c r="C177">
        <v>7</v>
      </c>
      <c r="D177">
        <v>3</v>
      </c>
      <c r="F177">
        <v>175</v>
      </c>
      <c r="G177">
        <v>15</v>
      </c>
      <c r="H177">
        <v>15</v>
      </c>
      <c r="I177">
        <v>12</v>
      </c>
      <c r="K177">
        <v>175</v>
      </c>
      <c r="L177">
        <v>17</v>
      </c>
      <c r="M177">
        <v>3</v>
      </c>
    </row>
    <row r="178" spans="1:13" x14ac:dyDescent="0.3">
      <c r="A178">
        <v>176</v>
      </c>
      <c r="B178">
        <v>10</v>
      </c>
      <c r="C178">
        <v>7</v>
      </c>
      <c r="D178">
        <v>4</v>
      </c>
      <c r="F178">
        <v>176</v>
      </c>
      <c r="G178">
        <v>17</v>
      </c>
      <c r="H178">
        <v>11</v>
      </c>
      <c r="I178">
        <v>9</v>
      </c>
      <c r="K178">
        <v>176</v>
      </c>
      <c r="L178">
        <v>16</v>
      </c>
      <c r="M178">
        <v>10</v>
      </c>
    </row>
    <row r="179" spans="1:13" x14ac:dyDescent="0.3">
      <c r="A179">
        <v>177</v>
      </c>
      <c r="B179">
        <v>10</v>
      </c>
      <c r="C179">
        <v>7</v>
      </c>
      <c r="D179">
        <v>4</v>
      </c>
      <c r="F179">
        <v>177</v>
      </c>
      <c r="G179">
        <v>18</v>
      </c>
      <c r="H179">
        <v>10</v>
      </c>
      <c r="I179">
        <v>9</v>
      </c>
      <c r="K179">
        <v>177</v>
      </c>
      <c r="L179">
        <v>17</v>
      </c>
      <c r="M179">
        <v>8</v>
      </c>
    </row>
    <row r="180" spans="1:13" x14ac:dyDescent="0.3">
      <c r="A180">
        <v>178</v>
      </c>
      <c r="B180">
        <v>14</v>
      </c>
      <c r="C180">
        <v>8</v>
      </c>
      <c r="D180">
        <v>4</v>
      </c>
      <c r="F180">
        <v>178</v>
      </c>
      <c r="G180">
        <v>26</v>
      </c>
      <c r="H180">
        <v>12</v>
      </c>
      <c r="I180">
        <v>15</v>
      </c>
      <c r="K180">
        <v>178</v>
      </c>
      <c r="L180">
        <v>17</v>
      </c>
      <c r="M180">
        <v>10</v>
      </c>
    </row>
    <row r="181" spans="1:13" x14ac:dyDescent="0.3">
      <c r="A181">
        <v>179</v>
      </c>
      <c r="B181">
        <v>15</v>
      </c>
      <c r="C181">
        <v>6</v>
      </c>
      <c r="D181">
        <v>1</v>
      </c>
      <c r="F181">
        <v>179</v>
      </c>
      <c r="G181">
        <v>20</v>
      </c>
      <c r="H181">
        <v>13</v>
      </c>
      <c r="I181">
        <v>7</v>
      </c>
      <c r="K181">
        <v>179</v>
      </c>
      <c r="L181">
        <v>17</v>
      </c>
      <c r="M181">
        <v>10</v>
      </c>
    </row>
    <row r="182" spans="1:13" x14ac:dyDescent="0.3">
      <c r="A182">
        <v>180</v>
      </c>
      <c r="B182">
        <v>18</v>
      </c>
      <c r="C182">
        <v>6</v>
      </c>
      <c r="D182">
        <v>5</v>
      </c>
      <c r="F182">
        <v>180</v>
      </c>
      <c r="G182">
        <v>22</v>
      </c>
      <c r="H182">
        <v>14</v>
      </c>
      <c r="I182">
        <v>12</v>
      </c>
      <c r="K182">
        <v>180</v>
      </c>
      <c r="L182">
        <v>18</v>
      </c>
      <c r="M182">
        <v>4</v>
      </c>
    </row>
    <row r="183" spans="1:13" x14ac:dyDescent="0.3">
      <c r="A183">
        <v>181</v>
      </c>
      <c r="B183">
        <v>20</v>
      </c>
      <c r="C183">
        <v>13</v>
      </c>
      <c r="D183">
        <v>6</v>
      </c>
      <c r="F183">
        <v>181</v>
      </c>
      <c r="G183">
        <v>29</v>
      </c>
      <c r="H183">
        <v>12</v>
      </c>
      <c r="I183">
        <v>9</v>
      </c>
      <c r="K183">
        <v>181</v>
      </c>
      <c r="L183">
        <v>20</v>
      </c>
      <c r="M183">
        <v>11</v>
      </c>
    </row>
    <row r="184" spans="1:13" x14ac:dyDescent="0.3">
      <c r="A184">
        <v>182</v>
      </c>
      <c r="B184">
        <v>15</v>
      </c>
      <c r="C184">
        <v>11</v>
      </c>
      <c r="D184">
        <v>5</v>
      </c>
      <c r="F184">
        <v>182</v>
      </c>
      <c r="G184">
        <v>26</v>
      </c>
      <c r="H184">
        <v>13</v>
      </c>
      <c r="I184">
        <v>11</v>
      </c>
      <c r="K184">
        <v>182</v>
      </c>
      <c r="L184">
        <v>21</v>
      </c>
      <c r="M184">
        <v>8</v>
      </c>
    </row>
    <row r="185" spans="1:13" x14ac:dyDescent="0.3">
      <c r="A185">
        <v>183</v>
      </c>
      <c r="B185">
        <v>21</v>
      </c>
      <c r="C185">
        <v>13</v>
      </c>
      <c r="D185">
        <v>4</v>
      </c>
      <c r="F185">
        <v>183</v>
      </c>
      <c r="G185">
        <v>24</v>
      </c>
      <c r="H185">
        <v>13</v>
      </c>
      <c r="I185">
        <v>7</v>
      </c>
      <c r="K185">
        <v>183</v>
      </c>
      <c r="L185">
        <v>21</v>
      </c>
      <c r="M185">
        <v>13</v>
      </c>
    </row>
    <row r="186" spans="1:13" x14ac:dyDescent="0.3">
      <c r="A186">
        <v>184</v>
      </c>
      <c r="B186">
        <v>16</v>
      </c>
      <c r="C186">
        <v>12</v>
      </c>
      <c r="D186">
        <v>2</v>
      </c>
      <c r="F186">
        <v>184</v>
      </c>
      <c r="G186">
        <v>26</v>
      </c>
      <c r="H186">
        <v>11</v>
      </c>
      <c r="I186">
        <v>13</v>
      </c>
      <c r="K186">
        <v>184</v>
      </c>
      <c r="L186">
        <v>18</v>
      </c>
      <c r="M186">
        <v>6</v>
      </c>
    </row>
    <row r="187" spans="1:13" x14ac:dyDescent="0.3">
      <c r="A187">
        <v>185</v>
      </c>
      <c r="B187">
        <v>16</v>
      </c>
      <c r="C187">
        <v>10</v>
      </c>
      <c r="D187">
        <v>4</v>
      </c>
      <c r="F187">
        <v>185</v>
      </c>
      <c r="G187">
        <v>21</v>
      </c>
      <c r="H187">
        <v>12</v>
      </c>
      <c r="I187">
        <v>16</v>
      </c>
      <c r="K187">
        <v>185</v>
      </c>
      <c r="L187">
        <v>19</v>
      </c>
      <c r="M187">
        <v>9</v>
      </c>
    </row>
    <row r="188" spans="1:13" x14ac:dyDescent="0.3">
      <c r="A188">
        <v>186</v>
      </c>
      <c r="B188">
        <v>13</v>
      </c>
      <c r="C188">
        <v>12</v>
      </c>
      <c r="D188">
        <v>4</v>
      </c>
      <c r="F188">
        <v>186</v>
      </c>
      <c r="G188">
        <v>27</v>
      </c>
      <c r="H188">
        <v>12</v>
      </c>
      <c r="I188">
        <v>8</v>
      </c>
      <c r="K188">
        <v>186</v>
      </c>
      <c r="L188">
        <v>15</v>
      </c>
      <c r="M188">
        <v>9</v>
      </c>
    </row>
    <row r="189" spans="1:13" x14ac:dyDescent="0.3">
      <c r="A189">
        <v>187</v>
      </c>
      <c r="B189">
        <v>12</v>
      </c>
      <c r="C189">
        <v>6</v>
      </c>
      <c r="D189">
        <v>5</v>
      </c>
      <c r="F189">
        <v>187</v>
      </c>
      <c r="G189">
        <v>17</v>
      </c>
      <c r="H189">
        <v>13</v>
      </c>
      <c r="I189">
        <v>6</v>
      </c>
      <c r="K189">
        <v>187</v>
      </c>
      <c r="L189">
        <v>14</v>
      </c>
      <c r="M189">
        <v>9</v>
      </c>
    </row>
    <row r="190" spans="1:13" x14ac:dyDescent="0.3">
      <c r="A190">
        <v>188</v>
      </c>
      <c r="B190">
        <v>11</v>
      </c>
      <c r="C190">
        <v>10</v>
      </c>
      <c r="D190">
        <v>4</v>
      </c>
      <c r="F190">
        <v>188</v>
      </c>
      <c r="G190">
        <v>27</v>
      </c>
      <c r="H190">
        <v>12</v>
      </c>
      <c r="I190">
        <v>4</v>
      </c>
      <c r="K190">
        <v>188</v>
      </c>
      <c r="L190">
        <v>16</v>
      </c>
      <c r="M190">
        <v>11</v>
      </c>
    </row>
    <row r="191" spans="1:13" x14ac:dyDescent="0.3">
      <c r="A191">
        <v>189</v>
      </c>
      <c r="B191">
        <v>12</v>
      </c>
      <c r="C191">
        <v>9</v>
      </c>
      <c r="D191">
        <v>2</v>
      </c>
      <c r="F191">
        <v>189</v>
      </c>
      <c r="G191">
        <v>18</v>
      </c>
      <c r="H191">
        <v>12</v>
      </c>
      <c r="I191">
        <v>12</v>
      </c>
      <c r="K191">
        <v>189</v>
      </c>
      <c r="L191">
        <v>13</v>
      </c>
      <c r="M191">
        <v>13</v>
      </c>
    </row>
    <row r="192" spans="1:13" x14ac:dyDescent="0.3">
      <c r="A192">
        <v>190</v>
      </c>
      <c r="B192">
        <v>16</v>
      </c>
      <c r="C192">
        <v>10</v>
      </c>
      <c r="D192">
        <v>2</v>
      </c>
      <c r="F192">
        <v>190</v>
      </c>
      <c r="G192">
        <v>22</v>
      </c>
      <c r="H192">
        <v>8</v>
      </c>
      <c r="I192">
        <v>3</v>
      </c>
      <c r="K192">
        <v>190</v>
      </c>
      <c r="L192">
        <v>16</v>
      </c>
      <c r="M192">
        <v>9</v>
      </c>
    </row>
    <row r="193" spans="1:13" x14ac:dyDescent="0.3">
      <c r="A193">
        <v>191</v>
      </c>
      <c r="B193">
        <v>13</v>
      </c>
      <c r="C193">
        <v>7</v>
      </c>
      <c r="D193">
        <v>1</v>
      </c>
      <c r="F193">
        <v>191</v>
      </c>
      <c r="G193">
        <v>25</v>
      </c>
      <c r="H193">
        <v>10</v>
      </c>
      <c r="I193">
        <v>10</v>
      </c>
      <c r="K193">
        <v>191</v>
      </c>
      <c r="L193">
        <v>17</v>
      </c>
      <c r="M193">
        <v>6</v>
      </c>
    </row>
    <row r="194" spans="1:13" x14ac:dyDescent="0.3">
      <c r="A194">
        <v>192</v>
      </c>
      <c r="B194">
        <v>16</v>
      </c>
      <c r="C194">
        <v>9</v>
      </c>
      <c r="D194">
        <v>6</v>
      </c>
      <c r="F194">
        <v>192</v>
      </c>
      <c r="G194">
        <v>24</v>
      </c>
      <c r="H194">
        <v>15</v>
      </c>
      <c r="I194">
        <v>14</v>
      </c>
      <c r="K194">
        <v>192</v>
      </c>
      <c r="L194">
        <v>14</v>
      </c>
      <c r="M194">
        <v>12</v>
      </c>
    </row>
    <row r="195" spans="1:13" x14ac:dyDescent="0.3">
      <c r="A195">
        <v>193</v>
      </c>
      <c r="B195">
        <v>18</v>
      </c>
      <c r="C195">
        <v>12</v>
      </c>
      <c r="D195">
        <v>4</v>
      </c>
      <c r="F195">
        <v>193</v>
      </c>
      <c r="G195">
        <v>26</v>
      </c>
      <c r="H195">
        <v>14</v>
      </c>
      <c r="I195">
        <v>8</v>
      </c>
      <c r="K195">
        <v>193</v>
      </c>
      <c r="L195">
        <v>18</v>
      </c>
      <c r="M195">
        <v>7</v>
      </c>
    </row>
    <row r="196" spans="1:13" x14ac:dyDescent="0.3">
      <c r="A196">
        <v>194</v>
      </c>
      <c r="B196">
        <v>18</v>
      </c>
      <c r="C196">
        <v>11</v>
      </c>
      <c r="D196">
        <v>6</v>
      </c>
      <c r="F196">
        <v>194</v>
      </c>
      <c r="G196">
        <v>30</v>
      </c>
      <c r="H196">
        <v>11</v>
      </c>
      <c r="I196">
        <v>6</v>
      </c>
      <c r="K196">
        <v>194</v>
      </c>
      <c r="L196">
        <v>21</v>
      </c>
      <c r="M196">
        <v>3</v>
      </c>
    </row>
    <row r="197" spans="1:13" x14ac:dyDescent="0.3">
      <c r="A197">
        <v>195</v>
      </c>
      <c r="B197">
        <v>19</v>
      </c>
      <c r="C197">
        <v>12</v>
      </c>
      <c r="D197">
        <v>5</v>
      </c>
      <c r="F197">
        <v>195</v>
      </c>
      <c r="G197">
        <v>24</v>
      </c>
      <c r="H197">
        <v>16</v>
      </c>
      <c r="I197">
        <v>13</v>
      </c>
      <c r="K197">
        <v>195</v>
      </c>
      <c r="L197">
        <v>21</v>
      </c>
      <c r="M197">
        <v>6</v>
      </c>
    </row>
    <row r="198" spans="1:13" x14ac:dyDescent="0.3">
      <c r="A198">
        <v>196</v>
      </c>
      <c r="B198">
        <v>18</v>
      </c>
      <c r="C198">
        <v>12</v>
      </c>
      <c r="D198">
        <v>1</v>
      </c>
      <c r="F198">
        <v>196</v>
      </c>
      <c r="G198">
        <v>27</v>
      </c>
      <c r="H198">
        <v>11</v>
      </c>
      <c r="I198">
        <v>7</v>
      </c>
      <c r="K198">
        <v>196</v>
      </c>
      <c r="L198">
        <v>22</v>
      </c>
      <c r="M198">
        <v>8</v>
      </c>
    </row>
    <row r="199" spans="1:13" x14ac:dyDescent="0.3">
      <c r="A199">
        <v>197</v>
      </c>
      <c r="B199">
        <v>19</v>
      </c>
      <c r="C199">
        <v>12</v>
      </c>
      <c r="D199">
        <v>5</v>
      </c>
      <c r="F199">
        <v>197</v>
      </c>
      <c r="G199">
        <v>25</v>
      </c>
      <c r="H199">
        <v>8</v>
      </c>
      <c r="I199">
        <v>4</v>
      </c>
      <c r="K199">
        <v>197</v>
      </c>
      <c r="L199">
        <v>16</v>
      </c>
      <c r="M199">
        <v>10</v>
      </c>
    </row>
    <row r="200" spans="1:13" x14ac:dyDescent="0.3">
      <c r="A200">
        <v>198</v>
      </c>
      <c r="B200">
        <v>17</v>
      </c>
      <c r="C200">
        <v>15</v>
      </c>
      <c r="D200">
        <v>1</v>
      </c>
      <c r="F200">
        <v>198</v>
      </c>
      <c r="G200">
        <v>28</v>
      </c>
      <c r="H200">
        <v>12</v>
      </c>
      <c r="I200">
        <v>8</v>
      </c>
      <c r="K200">
        <v>198</v>
      </c>
      <c r="L200">
        <v>16</v>
      </c>
      <c r="M200">
        <v>6</v>
      </c>
    </row>
    <row r="201" spans="1:13" x14ac:dyDescent="0.3">
      <c r="A201">
        <v>199</v>
      </c>
      <c r="B201">
        <v>12</v>
      </c>
      <c r="C201">
        <v>12</v>
      </c>
      <c r="D201">
        <v>1</v>
      </c>
      <c r="F201">
        <v>199</v>
      </c>
      <c r="G201">
        <v>25</v>
      </c>
      <c r="H201">
        <v>11</v>
      </c>
      <c r="I201">
        <v>13</v>
      </c>
      <c r="K201">
        <v>199</v>
      </c>
      <c r="L201">
        <v>15</v>
      </c>
      <c r="M201">
        <v>12</v>
      </c>
    </row>
    <row r="202" spans="1:13" x14ac:dyDescent="0.3">
      <c r="A202">
        <v>200</v>
      </c>
      <c r="B202">
        <v>12</v>
      </c>
      <c r="C202">
        <v>9</v>
      </c>
      <c r="D202">
        <v>3</v>
      </c>
      <c r="F202">
        <v>200</v>
      </c>
      <c r="G202">
        <v>16</v>
      </c>
      <c r="H202">
        <v>8</v>
      </c>
      <c r="I202">
        <v>9</v>
      </c>
      <c r="K202">
        <v>200</v>
      </c>
      <c r="L202">
        <v>17</v>
      </c>
      <c r="M202">
        <v>8</v>
      </c>
    </row>
    <row r="203" spans="1:13" x14ac:dyDescent="0.3">
      <c r="A203">
        <v>201</v>
      </c>
      <c r="B203">
        <v>12</v>
      </c>
      <c r="C203">
        <v>12</v>
      </c>
      <c r="D203">
        <v>1</v>
      </c>
      <c r="F203">
        <v>201</v>
      </c>
      <c r="G203">
        <v>18</v>
      </c>
      <c r="H203">
        <v>13</v>
      </c>
      <c r="I203">
        <v>12</v>
      </c>
      <c r="K203">
        <v>201</v>
      </c>
      <c r="L203">
        <v>10</v>
      </c>
      <c r="M203">
        <v>11</v>
      </c>
    </row>
    <row r="204" spans="1:13" x14ac:dyDescent="0.3">
      <c r="A204">
        <v>202</v>
      </c>
      <c r="B204">
        <v>12</v>
      </c>
      <c r="C204">
        <v>10</v>
      </c>
      <c r="D204">
        <v>3</v>
      </c>
      <c r="F204">
        <v>202</v>
      </c>
      <c r="G204">
        <v>21</v>
      </c>
      <c r="H204">
        <v>13</v>
      </c>
      <c r="I204">
        <v>12</v>
      </c>
      <c r="K204">
        <v>202</v>
      </c>
      <c r="L204">
        <v>13</v>
      </c>
      <c r="M204">
        <v>10</v>
      </c>
    </row>
    <row r="205" spans="1:13" x14ac:dyDescent="0.3">
      <c r="A205">
        <v>203</v>
      </c>
      <c r="B205">
        <v>16</v>
      </c>
      <c r="C205">
        <v>5</v>
      </c>
      <c r="D205">
        <v>6</v>
      </c>
      <c r="F205">
        <v>203</v>
      </c>
      <c r="G205">
        <v>21</v>
      </c>
      <c r="H205">
        <v>8</v>
      </c>
      <c r="I205">
        <v>16</v>
      </c>
      <c r="K205">
        <v>203</v>
      </c>
      <c r="L205">
        <v>22</v>
      </c>
      <c r="M205">
        <v>12</v>
      </c>
    </row>
    <row r="206" spans="1:13" x14ac:dyDescent="0.3">
      <c r="A206">
        <v>204</v>
      </c>
      <c r="B206">
        <v>18</v>
      </c>
      <c r="C206">
        <v>10</v>
      </c>
      <c r="D206">
        <v>3</v>
      </c>
      <c r="F206">
        <v>204</v>
      </c>
      <c r="G206">
        <v>24</v>
      </c>
      <c r="H206">
        <v>12</v>
      </c>
      <c r="I206">
        <v>18</v>
      </c>
      <c r="K206">
        <v>204</v>
      </c>
      <c r="L206">
        <v>16</v>
      </c>
      <c r="M206">
        <v>3</v>
      </c>
    </row>
    <row r="207" spans="1:13" x14ac:dyDescent="0.3">
      <c r="A207">
        <v>205</v>
      </c>
      <c r="B207">
        <v>18</v>
      </c>
      <c r="C207">
        <v>6</v>
      </c>
      <c r="D207">
        <v>5</v>
      </c>
      <c r="F207">
        <v>205</v>
      </c>
      <c r="G207">
        <v>20</v>
      </c>
      <c r="H207">
        <v>10</v>
      </c>
      <c r="I207">
        <v>11</v>
      </c>
      <c r="K207">
        <v>205</v>
      </c>
      <c r="L207">
        <v>19</v>
      </c>
      <c r="M207">
        <v>11</v>
      </c>
    </row>
    <row r="208" spans="1:13" x14ac:dyDescent="0.3">
      <c r="A208">
        <v>206</v>
      </c>
      <c r="B208">
        <v>18</v>
      </c>
      <c r="C208">
        <v>9</v>
      </c>
      <c r="D208">
        <v>4</v>
      </c>
      <c r="F208">
        <v>206</v>
      </c>
      <c r="G208">
        <v>25</v>
      </c>
      <c r="H208">
        <v>10</v>
      </c>
      <c r="I208">
        <v>7</v>
      </c>
      <c r="K208">
        <v>206</v>
      </c>
      <c r="L208">
        <v>23</v>
      </c>
      <c r="M208">
        <v>8</v>
      </c>
    </row>
    <row r="209" spans="1:13" x14ac:dyDescent="0.3">
      <c r="A209">
        <v>207</v>
      </c>
      <c r="B209">
        <v>20</v>
      </c>
      <c r="C209">
        <v>11</v>
      </c>
      <c r="D209">
        <v>0</v>
      </c>
      <c r="F209">
        <v>207</v>
      </c>
      <c r="G209">
        <v>23</v>
      </c>
      <c r="H209">
        <v>15</v>
      </c>
      <c r="I209">
        <v>8</v>
      </c>
      <c r="K209">
        <v>207</v>
      </c>
      <c r="L209">
        <v>18</v>
      </c>
      <c r="M209">
        <v>6</v>
      </c>
    </row>
    <row r="210" spans="1:13" x14ac:dyDescent="0.3">
      <c r="A210">
        <v>208</v>
      </c>
      <c r="B210">
        <v>21</v>
      </c>
      <c r="C210">
        <v>5</v>
      </c>
      <c r="D210">
        <v>6</v>
      </c>
      <c r="F210">
        <v>208</v>
      </c>
      <c r="G210">
        <v>29</v>
      </c>
      <c r="H210">
        <v>13</v>
      </c>
      <c r="I210">
        <v>10</v>
      </c>
      <c r="K210">
        <v>208</v>
      </c>
      <c r="L210">
        <v>20</v>
      </c>
      <c r="M210">
        <v>4</v>
      </c>
    </row>
    <row r="211" spans="1:13" x14ac:dyDescent="0.3">
      <c r="A211">
        <v>209</v>
      </c>
      <c r="B211">
        <v>16</v>
      </c>
      <c r="C211">
        <v>8</v>
      </c>
      <c r="D211">
        <v>6</v>
      </c>
      <c r="F211">
        <v>209</v>
      </c>
      <c r="G211">
        <v>26</v>
      </c>
      <c r="H211">
        <v>12</v>
      </c>
      <c r="I211">
        <v>12</v>
      </c>
      <c r="K211">
        <v>209</v>
      </c>
      <c r="L211">
        <v>19</v>
      </c>
      <c r="M211">
        <v>12</v>
      </c>
    </row>
    <row r="212" spans="1:13" x14ac:dyDescent="0.3">
      <c r="A212">
        <v>210</v>
      </c>
      <c r="B212">
        <v>19</v>
      </c>
      <c r="C212">
        <v>6</v>
      </c>
      <c r="D212">
        <v>5</v>
      </c>
      <c r="F212">
        <v>210</v>
      </c>
      <c r="G212">
        <v>24</v>
      </c>
      <c r="H212">
        <v>14</v>
      </c>
      <c r="I212">
        <v>15</v>
      </c>
      <c r="K212">
        <v>210</v>
      </c>
      <c r="L212">
        <v>18</v>
      </c>
      <c r="M212">
        <v>13</v>
      </c>
    </row>
    <row r="213" spans="1:13" x14ac:dyDescent="0.3">
      <c r="A213">
        <v>211</v>
      </c>
      <c r="B213">
        <v>16</v>
      </c>
      <c r="C213">
        <v>11</v>
      </c>
      <c r="D213">
        <v>9</v>
      </c>
      <c r="F213">
        <v>211</v>
      </c>
      <c r="G213">
        <v>20</v>
      </c>
      <c r="H213">
        <v>10</v>
      </c>
      <c r="I213">
        <v>20</v>
      </c>
      <c r="K213">
        <v>211</v>
      </c>
      <c r="L213">
        <v>22</v>
      </c>
      <c r="M213">
        <v>11</v>
      </c>
    </row>
    <row r="214" spans="1:13" x14ac:dyDescent="0.3">
      <c r="A214">
        <v>212</v>
      </c>
      <c r="B214">
        <v>14</v>
      </c>
      <c r="C214">
        <v>11</v>
      </c>
      <c r="D214">
        <v>5</v>
      </c>
      <c r="F214">
        <v>212</v>
      </c>
      <c r="G214">
        <v>27</v>
      </c>
      <c r="H214">
        <v>12</v>
      </c>
      <c r="I214">
        <v>13</v>
      </c>
      <c r="K214">
        <v>212</v>
      </c>
      <c r="L214">
        <v>20</v>
      </c>
      <c r="M214">
        <v>10</v>
      </c>
    </row>
    <row r="215" spans="1:13" x14ac:dyDescent="0.3">
      <c r="A215">
        <v>213</v>
      </c>
      <c r="B215">
        <v>15</v>
      </c>
      <c r="C215">
        <v>16</v>
      </c>
      <c r="D215">
        <v>5</v>
      </c>
      <c r="F215">
        <v>213</v>
      </c>
      <c r="G215">
        <v>24</v>
      </c>
      <c r="H215">
        <v>12</v>
      </c>
      <c r="I215">
        <v>13</v>
      </c>
      <c r="K215">
        <v>213</v>
      </c>
      <c r="L215">
        <v>18</v>
      </c>
      <c r="M215">
        <v>12</v>
      </c>
    </row>
    <row r="216" spans="1:13" x14ac:dyDescent="0.3">
      <c r="A216">
        <v>214</v>
      </c>
      <c r="B216">
        <v>12</v>
      </c>
      <c r="C216">
        <v>9</v>
      </c>
      <c r="D216">
        <v>6</v>
      </c>
      <c r="F216">
        <v>214</v>
      </c>
      <c r="G216">
        <v>28</v>
      </c>
      <c r="H216">
        <v>14</v>
      </c>
      <c r="I216">
        <v>13</v>
      </c>
      <c r="K216">
        <v>214</v>
      </c>
      <c r="L216">
        <v>18</v>
      </c>
      <c r="M216">
        <v>16</v>
      </c>
    </row>
  </sheetData>
  <pageMargins left="0.7" right="0.7" top="0.75" bottom="0.75" header="0.3" footer="0.3"/>
  <ignoredErrors>
    <ignoredError sqref="A1:M21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"/>
  <sheetViews>
    <sheetView workbookViewId="0"/>
  </sheetViews>
  <sheetFormatPr defaultColWidth="11.19921875" defaultRowHeight="15.6" x14ac:dyDescent="0.3"/>
  <cols>
    <col min="1" max="1" width="20.5" bestFit="1" customWidth="1"/>
    <col min="2" max="2" width="19.5" bestFit="1" customWidth="1"/>
    <col min="3" max="3" width="19" bestFit="1" customWidth="1"/>
    <col min="4" max="4" width="17.59765625" bestFit="1" customWidth="1"/>
    <col min="8" max="8" width="10.59765625" bestFit="1" customWidth="1"/>
  </cols>
  <sheetData>
    <row r="1" spans="1:11" x14ac:dyDescent="0.3">
      <c r="A1" t="s">
        <v>83</v>
      </c>
      <c r="B1" t="s">
        <v>84</v>
      </c>
      <c r="C1" t="s">
        <v>85</v>
      </c>
      <c r="D1" t="s">
        <v>86</v>
      </c>
      <c r="E1" t="s">
        <v>41</v>
      </c>
      <c r="F1" t="s">
        <v>43</v>
      </c>
      <c r="G1" t="s">
        <v>42</v>
      </c>
      <c r="H1" t="s">
        <v>87</v>
      </c>
      <c r="I1" t="s">
        <v>44</v>
      </c>
      <c r="J1" t="s">
        <v>88</v>
      </c>
      <c r="K1" t="s">
        <v>89</v>
      </c>
    </row>
    <row r="2" spans="1:11" x14ac:dyDescent="0.3">
      <c r="A2" t="s">
        <v>32</v>
      </c>
      <c r="B2" t="s">
        <v>27</v>
      </c>
      <c r="C2" t="s">
        <v>90</v>
      </c>
      <c r="D2" t="s">
        <v>91</v>
      </c>
      <c r="E2">
        <v>3</v>
      </c>
      <c r="F2">
        <v>8</v>
      </c>
      <c r="G2">
        <v>3</v>
      </c>
      <c r="H2">
        <v>72</v>
      </c>
      <c r="I2">
        <v>100000</v>
      </c>
      <c r="J2">
        <v>1</v>
      </c>
      <c r="K2">
        <v>1</v>
      </c>
    </row>
    <row r="3" spans="1:11" x14ac:dyDescent="0.3">
      <c r="A3" t="s">
        <v>34</v>
      </c>
      <c r="B3" t="s">
        <v>27</v>
      </c>
      <c r="C3" t="s">
        <v>90</v>
      </c>
      <c r="D3" t="s">
        <v>92</v>
      </c>
      <c r="E3">
        <v>3</v>
      </c>
      <c r="F3">
        <v>16</v>
      </c>
      <c r="G3">
        <v>3</v>
      </c>
      <c r="H3">
        <v>144</v>
      </c>
      <c r="I3">
        <v>100000</v>
      </c>
      <c r="J3">
        <v>1</v>
      </c>
      <c r="K3">
        <v>1</v>
      </c>
    </row>
    <row r="4" spans="1:11" x14ac:dyDescent="0.3">
      <c r="A4" t="s">
        <v>35</v>
      </c>
      <c r="B4" t="s">
        <v>27</v>
      </c>
      <c r="C4" t="s">
        <v>93</v>
      </c>
      <c r="D4" t="s">
        <v>94</v>
      </c>
      <c r="E4">
        <v>9</v>
      </c>
      <c r="F4">
        <v>24</v>
      </c>
      <c r="G4">
        <v>9</v>
      </c>
      <c r="H4">
        <v>1944</v>
      </c>
      <c r="I4">
        <v>100000</v>
      </c>
      <c r="J4">
        <v>1</v>
      </c>
      <c r="K4">
        <v>4</v>
      </c>
    </row>
    <row r="5" spans="1:11" x14ac:dyDescent="0.3">
      <c r="A5" t="s">
        <v>35</v>
      </c>
      <c r="B5" t="s">
        <v>27</v>
      </c>
      <c r="C5" t="s">
        <v>95</v>
      </c>
      <c r="D5" t="s">
        <v>96</v>
      </c>
      <c r="E5">
        <v>1</v>
      </c>
      <c r="F5">
        <v>3</v>
      </c>
      <c r="G5">
        <v>2</v>
      </c>
      <c r="H5">
        <v>6</v>
      </c>
      <c r="I5">
        <v>100000</v>
      </c>
      <c r="J5">
        <v>1</v>
      </c>
      <c r="K5">
        <v>1</v>
      </c>
    </row>
    <row r="6" spans="1:11" x14ac:dyDescent="0.3">
      <c r="A6" t="s">
        <v>27</v>
      </c>
      <c r="B6" t="s">
        <v>37</v>
      </c>
      <c r="C6" t="s">
        <v>90</v>
      </c>
      <c r="D6" t="s">
        <v>91</v>
      </c>
      <c r="E6">
        <v>3</v>
      </c>
      <c r="F6">
        <v>16</v>
      </c>
      <c r="G6">
        <v>3</v>
      </c>
      <c r="H6">
        <v>144</v>
      </c>
      <c r="I6">
        <v>100000</v>
      </c>
      <c r="J6">
        <v>2</v>
      </c>
      <c r="K6">
        <v>1</v>
      </c>
    </row>
    <row r="7" spans="1:11" x14ac:dyDescent="0.3">
      <c r="A7" t="s">
        <v>27</v>
      </c>
      <c r="B7" t="s">
        <v>23</v>
      </c>
      <c r="C7" t="s">
        <v>90</v>
      </c>
      <c r="D7" t="s">
        <v>97</v>
      </c>
      <c r="E7">
        <v>3</v>
      </c>
      <c r="F7">
        <v>8</v>
      </c>
      <c r="G7">
        <v>3</v>
      </c>
      <c r="H7">
        <v>72</v>
      </c>
      <c r="I7">
        <v>100000</v>
      </c>
      <c r="J7">
        <v>2</v>
      </c>
      <c r="K7">
        <v>1</v>
      </c>
    </row>
    <row r="8" spans="1:11" x14ac:dyDescent="0.3">
      <c r="A8" t="s">
        <v>37</v>
      </c>
      <c r="B8" t="s">
        <v>24</v>
      </c>
      <c r="C8" t="s">
        <v>90</v>
      </c>
      <c r="D8" t="s">
        <v>91</v>
      </c>
      <c r="E8">
        <v>3</v>
      </c>
      <c r="F8">
        <v>8</v>
      </c>
      <c r="G8">
        <v>3</v>
      </c>
      <c r="H8">
        <v>72</v>
      </c>
      <c r="I8">
        <v>100000</v>
      </c>
      <c r="J8">
        <v>2</v>
      </c>
      <c r="K8">
        <v>1</v>
      </c>
    </row>
    <row r="9" spans="1:11" x14ac:dyDescent="0.3">
      <c r="A9" t="s">
        <v>37</v>
      </c>
      <c r="B9" t="s">
        <v>25</v>
      </c>
      <c r="C9" t="s">
        <v>90</v>
      </c>
      <c r="D9" t="s">
        <v>91</v>
      </c>
      <c r="E9">
        <v>3</v>
      </c>
      <c r="F9">
        <v>8</v>
      </c>
      <c r="G9">
        <v>3</v>
      </c>
      <c r="H9">
        <v>72</v>
      </c>
      <c r="I9">
        <v>100000</v>
      </c>
      <c r="J9">
        <v>2</v>
      </c>
      <c r="K9">
        <v>1</v>
      </c>
    </row>
  </sheetData>
  <pageMargins left="0.7" right="0.7" top="0.75" bottom="0.75" header="0.3" footer="0.3"/>
  <ignoredErrors>
    <ignoredError sqref="A1:K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workbookViewId="0">
      <selection activeCell="F21" sqref="F21"/>
    </sheetView>
  </sheetViews>
  <sheetFormatPr defaultColWidth="11.19921875" defaultRowHeight="15.6" x14ac:dyDescent="0.3"/>
  <cols>
    <col min="2" max="2" width="12.3984375" customWidth="1"/>
    <col min="3" max="3" width="14.19921875" customWidth="1"/>
    <col min="4" max="4" width="14.296875" customWidth="1"/>
    <col min="5" max="5" width="18" customWidth="1"/>
  </cols>
  <sheetData>
    <row r="1" spans="1:5" x14ac:dyDescent="0.3">
      <c r="A1" t="s">
        <v>27</v>
      </c>
    </row>
    <row r="3" spans="1:5" x14ac:dyDescent="0.3">
      <c r="A3" t="s">
        <v>20</v>
      </c>
      <c r="B3" t="s">
        <v>98</v>
      </c>
      <c r="C3" t="s">
        <v>99</v>
      </c>
      <c r="D3" t="s">
        <v>100</v>
      </c>
      <c r="E3" t="s">
        <v>101</v>
      </c>
    </row>
    <row r="4" spans="1:5" x14ac:dyDescent="0.3">
      <c r="A4" t="s">
        <v>45</v>
      </c>
      <c r="B4">
        <v>20</v>
      </c>
      <c r="C4">
        <v>180</v>
      </c>
      <c r="D4">
        <v>295</v>
      </c>
      <c r="E4">
        <v>50</v>
      </c>
    </row>
    <row r="5" spans="1:5" x14ac:dyDescent="0.3">
      <c r="A5" t="s">
        <v>46</v>
      </c>
      <c r="B5">
        <v>20</v>
      </c>
      <c r="C5">
        <v>89</v>
      </c>
      <c r="D5">
        <v>235</v>
      </c>
      <c r="E5">
        <v>150</v>
      </c>
    </row>
    <row r="6" spans="1:5" x14ac:dyDescent="0.3">
      <c r="A6" t="s">
        <v>47</v>
      </c>
      <c r="B6">
        <v>20</v>
      </c>
      <c r="C6">
        <v>245</v>
      </c>
      <c r="D6">
        <v>150</v>
      </c>
      <c r="E6">
        <v>100</v>
      </c>
    </row>
    <row r="8" spans="1:5" x14ac:dyDescent="0.3">
      <c r="A8" t="s">
        <v>102</v>
      </c>
      <c r="B8">
        <v>3000</v>
      </c>
      <c r="C8">
        <v>20000</v>
      </c>
      <c r="D8">
        <v>27000</v>
      </c>
      <c r="E8">
        <v>10000</v>
      </c>
    </row>
  </sheetData>
  <pageMargins left="0.7" right="0.7" top="0.75" bottom="0.75" header="0.3" footer="0.3"/>
  <ignoredErrors>
    <ignoredError sqref="A1:E8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"/>
  <sheetViews>
    <sheetView workbookViewId="0"/>
  </sheetViews>
  <sheetFormatPr defaultColWidth="11.19921875" defaultRowHeight="15.6" x14ac:dyDescent="0.3"/>
  <sheetData>
    <row r="1" spans="1:7" x14ac:dyDescent="0.3">
      <c r="A1" t="s">
        <v>103</v>
      </c>
      <c r="B1" t="s">
        <v>0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</row>
    <row r="2" spans="1:7" x14ac:dyDescent="0.3">
      <c r="A2" t="s">
        <v>109</v>
      </c>
      <c r="B2" t="s">
        <v>27</v>
      </c>
      <c r="C2">
        <v>2880</v>
      </c>
      <c r="D2">
        <v>1000000</v>
      </c>
      <c r="E2">
        <v>2500</v>
      </c>
      <c r="F2">
        <v>0</v>
      </c>
      <c r="G2">
        <v>5000</v>
      </c>
    </row>
    <row r="3" spans="1:7" x14ac:dyDescent="0.3">
      <c r="A3" t="s">
        <v>110</v>
      </c>
      <c r="B3" t="s">
        <v>23</v>
      </c>
      <c r="C3">
        <v>890</v>
      </c>
      <c r="D3">
        <v>500000</v>
      </c>
      <c r="E3">
        <v>7000</v>
      </c>
      <c r="F3">
        <v>0</v>
      </c>
      <c r="G3">
        <v>14000</v>
      </c>
    </row>
    <row r="4" spans="1:7" x14ac:dyDescent="0.3">
      <c r="A4" t="s">
        <v>110</v>
      </c>
      <c r="B4" t="s">
        <v>24</v>
      </c>
      <c r="C4">
        <v>720</v>
      </c>
      <c r="D4">
        <v>350000</v>
      </c>
      <c r="E4">
        <v>5000</v>
      </c>
      <c r="F4">
        <v>0</v>
      </c>
      <c r="G4">
        <v>10000</v>
      </c>
    </row>
    <row r="5" spans="1:7" x14ac:dyDescent="0.3">
      <c r="A5" t="s">
        <v>110</v>
      </c>
      <c r="B5" t="s">
        <v>25</v>
      </c>
      <c r="C5">
        <v>580</v>
      </c>
      <c r="D5">
        <v>200000</v>
      </c>
      <c r="E5">
        <v>4000</v>
      </c>
      <c r="F5">
        <v>0</v>
      </c>
      <c r="G5">
        <v>10000</v>
      </c>
    </row>
    <row r="6" spans="1:7" x14ac:dyDescent="0.3">
      <c r="A6" t="s">
        <v>111</v>
      </c>
      <c r="B6" t="s">
        <v>37</v>
      </c>
      <c r="C6">
        <v>2304</v>
      </c>
      <c r="D6">
        <v>600000</v>
      </c>
      <c r="E6">
        <v>3000</v>
      </c>
      <c r="F6">
        <v>0</v>
      </c>
      <c r="G6">
        <v>8000</v>
      </c>
    </row>
  </sheetData>
  <pageMargins left="0.7" right="0.7" top="0.75" bottom="0.75" header="0.3" footer="0.3"/>
  <ignoredErrors>
    <ignoredError sqref="A1:G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0B125-996A-4045-9170-4F1A5C8D889D}">
  <dimension ref="B2:R99"/>
  <sheetViews>
    <sheetView showGridLines="0" zoomScale="70" zoomScaleNormal="70" workbookViewId="0">
      <selection activeCell="F33" sqref="F33"/>
    </sheetView>
  </sheetViews>
  <sheetFormatPr defaultRowHeight="15.6" x14ac:dyDescent="0.3"/>
  <cols>
    <col min="2" max="4" width="19.5" customWidth="1"/>
    <col min="5" max="5" width="22.796875" customWidth="1"/>
    <col min="6" max="6" width="19.5" customWidth="1"/>
    <col min="9" max="9" width="4.3984375" customWidth="1"/>
    <col min="10" max="10" width="3.69921875" customWidth="1"/>
    <col min="11" max="11" width="42.5" bestFit="1" customWidth="1"/>
    <col min="12" max="13" width="26.3984375" style="13" customWidth="1"/>
    <col min="14" max="14" width="26.3984375" customWidth="1"/>
    <col min="17" max="17" width="15.3984375" customWidth="1"/>
    <col min="18" max="18" width="16.796875" customWidth="1"/>
  </cols>
  <sheetData>
    <row r="2" spans="2:18" x14ac:dyDescent="0.3">
      <c r="B2" s="10" t="s">
        <v>112</v>
      </c>
      <c r="C2" s="11" t="s">
        <v>113</v>
      </c>
      <c r="D2" s="11" t="s">
        <v>114</v>
      </c>
      <c r="E2" s="11" t="s">
        <v>115</v>
      </c>
      <c r="F2" s="11" t="s">
        <v>116</v>
      </c>
      <c r="K2" s="2" t="s">
        <v>131</v>
      </c>
      <c r="L2" s="2" t="s">
        <v>136</v>
      </c>
      <c r="M2" s="2" t="s">
        <v>132</v>
      </c>
      <c r="N2" s="4" t="s">
        <v>137</v>
      </c>
      <c r="Q2" s="10" t="s">
        <v>112</v>
      </c>
      <c r="R2" s="11" t="s">
        <v>121</v>
      </c>
    </row>
    <row r="3" spans="2:18" x14ac:dyDescent="0.3">
      <c r="B3" s="7" t="s">
        <v>117</v>
      </c>
      <c r="C3" s="7" t="s">
        <v>98</v>
      </c>
      <c r="D3" s="8">
        <f>Production!B4</f>
        <v>20</v>
      </c>
      <c r="E3" s="9">
        <v>3000</v>
      </c>
      <c r="F3" s="9">
        <f>D3*E3</f>
        <v>60000</v>
      </c>
      <c r="I3" s="6"/>
      <c r="K3" s="5" t="s">
        <v>49</v>
      </c>
      <c r="L3" s="1">
        <f>IFERROR(0+_xlfn.XLOOKUP(K3,'Products &amp; Materials'!$B$40:$AD$40,'Products &amp; Materials'!$B$41:$AD$41),0)</f>
        <v>1</v>
      </c>
      <c r="M3" s="1">
        <f>_xlfn.XLOOKUP(K3,'Costo materia prima'!$D$3:$D$31,'Costo materia prima'!$E$3:$E$31)</f>
        <v>10000</v>
      </c>
      <c r="N3" s="20">
        <f>IFERROR(L3*M3,0)</f>
        <v>10000</v>
      </c>
      <c r="Q3" s="7" t="s">
        <v>117</v>
      </c>
      <c r="R3" s="17">
        <v>7000000</v>
      </c>
    </row>
    <row r="4" spans="2:18" x14ac:dyDescent="0.3">
      <c r="B4" s="7" t="s">
        <v>117</v>
      </c>
      <c r="C4" s="7" t="s">
        <v>99</v>
      </c>
      <c r="D4" s="8">
        <f>Production!C4</f>
        <v>180</v>
      </c>
      <c r="E4" s="9">
        <v>4000</v>
      </c>
      <c r="F4" s="9">
        <f t="shared" ref="F4:F6" si="0">D4*E4</f>
        <v>720000</v>
      </c>
      <c r="I4" s="6"/>
      <c r="K4" s="5" t="s">
        <v>50</v>
      </c>
      <c r="L4" s="1">
        <f>IFERROR(0+_xlfn.XLOOKUP(K4,'Products &amp; Materials'!$B$40:$AD$40,'Products &amp; Materials'!$B$41:$AD$41),0)</f>
        <v>6</v>
      </c>
      <c r="M4" s="1">
        <f>_xlfn.XLOOKUP(K4,'Costo materia prima'!$D$3:$D$31,'Costo materia prima'!$E$3:$E$31)</f>
        <v>20000</v>
      </c>
      <c r="N4" s="20">
        <f t="shared" ref="N4:N31" si="1">IFERROR(L4*M4,0)</f>
        <v>120000</v>
      </c>
      <c r="Q4" s="7" t="s">
        <v>125</v>
      </c>
      <c r="R4" s="17">
        <v>9000000</v>
      </c>
    </row>
    <row r="5" spans="2:18" x14ac:dyDescent="0.3">
      <c r="B5" s="7" t="s">
        <v>117</v>
      </c>
      <c r="C5" s="7" t="s">
        <v>118</v>
      </c>
      <c r="D5" s="8">
        <f>Production!D4</f>
        <v>295</v>
      </c>
      <c r="E5" s="9">
        <v>2500</v>
      </c>
      <c r="F5" s="9">
        <f t="shared" si="0"/>
        <v>737500</v>
      </c>
      <c r="I5" s="6"/>
      <c r="K5" s="5" t="s">
        <v>51</v>
      </c>
      <c r="L5" s="1">
        <f>IFERROR(0+_xlfn.XLOOKUP(K5,'Products &amp; Materials'!$B$40:$AD$40,'Products &amp; Materials'!$B$41:$AD$41),0)</f>
        <v>8</v>
      </c>
      <c r="M5" s="1">
        <f>_xlfn.XLOOKUP(K5,'Costo materia prima'!$D$3:$D$31,'Costo materia prima'!$E$3:$E$31)</f>
        <v>40000</v>
      </c>
      <c r="N5" s="20">
        <f t="shared" si="1"/>
        <v>320000</v>
      </c>
      <c r="Q5" s="7" t="s">
        <v>126</v>
      </c>
      <c r="R5" s="17">
        <v>11000000</v>
      </c>
    </row>
    <row r="6" spans="2:18" x14ac:dyDescent="0.3">
      <c r="B6" s="7" t="s">
        <v>117</v>
      </c>
      <c r="C6" s="7" t="s">
        <v>119</v>
      </c>
      <c r="D6" s="8">
        <f>Production!E4</f>
        <v>50</v>
      </c>
      <c r="E6" s="9">
        <v>2500</v>
      </c>
      <c r="F6" s="9">
        <f t="shared" si="0"/>
        <v>125000</v>
      </c>
      <c r="I6" s="6"/>
      <c r="K6" t="s">
        <v>52</v>
      </c>
      <c r="L6" s="1">
        <f>IFERROR(0+_xlfn.XLOOKUP(K6,'Products &amp; Materials'!$B$40:$AD$40,'Products &amp; Materials'!$B$41:$AD$41),0)</f>
        <v>2</v>
      </c>
      <c r="M6" s="1">
        <f>_xlfn.XLOOKUP(K6,'Costo materia prima'!$D$3:$D$31,'Costo materia prima'!$E$3:$E$31)</f>
        <v>25000</v>
      </c>
      <c r="N6" s="20">
        <f t="shared" si="1"/>
        <v>50000</v>
      </c>
    </row>
    <row r="7" spans="2:18" x14ac:dyDescent="0.3">
      <c r="B7" s="5"/>
      <c r="C7" s="5"/>
      <c r="D7" s="3"/>
      <c r="E7" s="4" t="s">
        <v>120</v>
      </c>
      <c r="F7" s="12">
        <f>SUM(F3:F6)</f>
        <v>1642500</v>
      </c>
      <c r="K7" t="s">
        <v>71</v>
      </c>
      <c r="L7" s="1">
        <f>IFERROR(0+_xlfn.XLOOKUP(K7,'Products &amp; Materials'!$B$40:$AD$40,'Products &amp; Materials'!$B$41:$AD$41),0)</f>
        <v>3</v>
      </c>
      <c r="M7" s="1">
        <f>_xlfn.XLOOKUP(K7,'Costo materia prima'!$D$3:$D$31,'Costo materia prima'!$E$3:$E$31)</f>
        <v>40000</v>
      </c>
      <c r="N7" s="20">
        <f t="shared" si="1"/>
        <v>120000</v>
      </c>
    </row>
    <row r="8" spans="2:18" x14ac:dyDescent="0.3">
      <c r="K8" t="s">
        <v>72</v>
      </c>
      <c r="L8" s="1">
        <f>IFERROR(0+_xlfn.XLOOKUP(K8,'Products &amp; Materials'!$B$40:$AD$40,'Products &amp; Materials'!$B$41:$AD$41),0)</f>
        <v>6</v>
      </c>
      <c r="M8" s="1">
        <f>_xlfn.XLOOKUP(K8,'Costo materia prima'!$D$3:$D$31,'Costo materia prima'!$E$3:$E$31)</f>
        <v>30000</v>
      </c>
      <c r="N8" s="20">
        <f t="shared" si="1"/>
        <v>180000</v>
      </c>
    </row>
    <row r="9" spans="2:18" x14ac:dyDescent="0.3">
      <c r="B9" s="10" t="s">
        <v>112</v>
      </c>
      <c r="C9" s="11" t="s">
        <v>113</v>
      </c>
      <c r="D9" s="11" t="s">
        <v>114</v>
      </c>
      <c r="E9" s="11" t="s">
        <v>115</v>
      </c>
      <c r="F9" s="11" t="s">
        <v>116</v>
      </c>
      <c r="K9" t="s">
        <v>73</v>
      </c>
      <c r="L9" s="1">
        <f>IFERROR(0+_xlfn.XLOOKUP(K9,'Products &amp; Materials'!$B$40:$AD$40,'Products &amp; Materials'!$B$41:$AD$41),0)</f>
        <v>2</v>
      </c>
      <c r="M9" s="1">
        <f>_xlfn.XLOOKUP(K9,'Costo materia prima'!$D$3:$D$31,'Costo materia prima'!$E$3:$E$31)</f>
        <v>20000</v>
      </c>
      <c r="N9" s="20">
        <f t="shared" si="1"/>
        <v>40000</v>
      </c>
    </row>
    <row r="10" spans="2:18" x14ac:dyDescent="0.3">
      <c r="B10" s="7" t="s">
        <v>125</v>
      </c>
      <c r="C10" s="7" t="s">
        <v>98</v>
      </c>
      <c r="D10" s="8">
        <f>Production!B5</f>
        <v>20</v>
      </c>
      <c r="E10" s="9">
        <v>3000</v>
      </c>
      <c r="F10" s="9">
        <f>D10*E10</f>
        <v>60000</v>
      </c>
      <c r="K10" t="s">
        <v>53</v>
      </c>
      <c r="L10" s="1">
        <f>IFERROR(0+_xlfn.XLOOKUP(K10,'Products &amp; Materials'!$B$40:$AD$40,'Products &amp; Materials'!$B$41:$AD$41),0)</f>
        <v>1</v>
      </c>
      <c r="M10" s="1">
        <f>_xlfn.XLOOKUP(K10,'Costo materia prima'!$D$3:$D$31,'Costo materia prima'!$E$3:$E$31)</f>
        <v>20000</v>
      </c>
      <c r="N10" s="20">
        <f t="shared" si="1"/>
        <v>20000</v>
      </c>
    </row>
    <row r="11" spans="2:18" x14ac:dyDescent="0.3">
      <c r="B11" s="7" t="s">
        <v>125</v>
      </c>
      <c r="C11" s="7" t="s">
        <v>99</v>
      </c>
      <c r="D11" s="8">
        <f>Production!C5</f>
        <v>89</v>
      </c>
      <c r="E11" s="9">
        <v>4000</v>
      </c>
      <c r="F11" s="9">
        <f t="shared" ref="F11" si="2">D11*E11</f>
        <v>356000</v>
      </c>
      <c r="K11" t="s">
        <v>54</v>
      </c>
      <c r="L11" s="1">
        <f>IFERROR(0+_xlfn.XLOOKUP(K11,'Products &amp; Materials'!$B$40:$AD$40,'Products &amp; Materials'!$B$41:$AD$41),0)</f>
        <v>2</v>
      </c>
      <c r="M11" s="1">
        <f>_xlfn.XLOOKUP(K11,'Costo materia prima'!$D$3:$D$31,'Costo materia prima'!$E$3:$E$31)</f>
        <v>40000</v>
      </c>
      <c r="N11" s="20">
        <f t="shared" si="1"/>
        <v>80000</v>
      </c>
    </row>
    <row r="12" spans="2:18" x14ac:dyDescent="0.3">
      <c r="B12" s="7" t="s">
        <v>125</v>
      </c>
      <c r="C12" s="7" t="s">
        <v>118</v>
      </c>
      <c r="D12" s="8">
        <f>Production!D5</f>
        <v>235</v>
      </c>
      <c r="E12" s="9">
        <v>2500</v>
      </c>
      <c r="F12" s="9">
        <f>D12*E12</f>
        <v>587500</v>
      </c>
      <c r="K12" t="s">
        <v>55</v>
      </c>
      <c r="L12" s="1">
        <f>IFERROR(0+_xlfn.XLOOKUP(K12,'Products &amp; Materials'!$B$40:$AD$40,'Products &amp; Materials'!$B$41:$AD$41),0)</f>
        <v>0</v>
      </c>
      <c r="M12" s="1">
        <f>_xlfn.XLOOKUP(K12,'Costo materia prima'!$D$3:$D$31,'Costo materia prima'!$E$3:$E$31)</f>
        <v>100000</v>
      </c>
      <c r="N12" s="20">
        <f t="shared" si="1"/>
        <v>0</v>
      </c>
    </row>
    <row r="13" spans="2:18" x14ac:dyDescent="0.3">
      <c r="B13" s="7" t="s">
        <v>125</v>
      </c>
      <c r="C13" s="7" t="s">
        <v>119</v>
      </c>
      <c r="D13" s="8">
        <f>Production!E5</f>
        <v>150</v>
      </c>
      <c r="E13" s="9">
        <v>2500</v>
      </c>
      <c r="F13" s="9">
        <f>D13*E13</f>
        <v>375000</v>
      </c>
      <c r="K13" t="s">
        <v>56</v>
      </c>
      <c r="L13" s="1">
        <f>IFERROR(0+_xlfn.XLOOKUP(K13,'Products &amp; Materials'!$B$40:$AD$40,'Products &amp; Materials'!$B$41:$AD$41),0)</f>
        <v>7</v>
      </c>
      <c r="M13" s="1">
        <f>_xlfn.XLOOKUP(K13,'Costo materia prima'!$D$3:$D$31,'Costo materia prima'!$E$3:$E$31)</f>
        <v>50000</v>
      </c>
      <c r="N13" s="20">
        <f t="shared" si="1"/>
        <v>350000</v>
      </c>
    </row>
    <row r="14" spans="2:18" x14ac:dyDescent="0.3">
      <c r="B14" s="5"/>
      <c r="C14" s="5"/>
      <c r="D14" s="3"/>
      <c r="E14" s="4" t="s">
        <v>127</v>
      </c>
      <c r="F14" s="12">
        <f>SUM(F10:F13)</f>
        <v>1378500</v>
      </c>
      <c r="K14" t="s">
        <v>57</v>
      </c>
      <c r="L14" s="1">
        <f>IFERROR(0+_xlfn.XLOOKUP(K14,'Products &amp; Materials'!$B$40:$AD$40,'Products &amp; Materials'!$B$41:$AD$41),0)</f>
        <v>0</v>
      </c>
      <c r="M14" s="1">
        <f>_xlfn.XLOOKUP(K14,'Costo materia prima'!$D$3:$D$31,'Costo materia prima'!$E$3:$E$31)</f>
        <v>40000</v>
      </c>
      <c r="N14" s="20">
        <f t="shared" si="1"/>
        <v>0</v>
      </c>
    </row>
    <row r="15" spans="2:18" x14ac:dyDescent="0.3">
      <c r="K15" t="s">
        <v>58</v>
      </c>
      <c r="L15" s="1">
        <f>IFERROR(0+_xlfn.XLOOKUP(K15,'Products &amp; Materials'!$B$40:$AD$40,'Products &amp; Materials'!$B$41:$AD$41),0)</f>
        <v>8</v>
      </c>
      <c r="M15" s="1">
        <f>_xlfn.XLOOKUP(K15,'Costo materia prima'!$D$3:$D$31,'Costo materia prima'!$E$3:$E$31)</f>
        <v>50000</v>
      </c>
      <c r="N15" s="20">
        <f t="shared" si="1"/>
        <v>400000</v>
      </c>
    </row>
    <row r="16" spans="2:18" x14ac:dyDescent="0.3">
      <c r="B16" s="10" t="s">
        <v>112</v>
      </c>
      <c r="C16" s="11" t="s">
        <v>113</v>
      </c>
      <c r="D16" s="11" t="s">
        <v>114</v>
      </c>
      <c r="E16" s="11" t="s">
        <v>115</v>
      </c>
      <c r="F16" s="11" t="s">
        <v>116</v>
      </c>
      <c r="K16" t="s">
        <v>59</v>
      </c>
      <c r="L16" s="1">
        <f>IFERROR(0+_xlfn.XLOOKUP(K16,'Products &amp; Materials'!$B$40:$AD$40,'Products &amp; Materials'!$B$41:$AD$41),0)</f>
        <v>3</v>
      </c>
      <c r="M16" s="1">
        <f>_xlfn.XLOOKUP(K16,'Costo materia prima'!$D$3:$D$31,'Costo materia prima'!$E$3:$E$31)</f>
        <v>50000</v>
      </c>
      <c r="N16" s="20">
        <f t="shared" si="1"/>
        <v>150000</v>
      </c>
    </row>
    <row r="17" spans="2:14" x14ac:dyDescent="0.3">
      <c r="B17" s="7" t="s">
        <v>126</v>
      </c>
      <c r="C17" s="7" t="s">
        <v>98</v>
      </c>
      <c r="D17" s="8">
        <f>Production!B6</f>
        <v>20</v>
      </c>
      <c r="E17" s="9">
        <v>3000</v>
      </c>
      <c r="F17" s="9">
        <f>D17*E17</f>
        <v>60000</v>
      </c>
      <c r="K17" t="s">
        <v>60</v>
      </c>
      <c r="L17" s="1">
        <f>IFERROR(0+_xlfn.XLOOKUP(K17,'Products &amp; Materials'!$B$40:$AD$40,'Products &amp; Materials'!$B$41:$AD$41),0)</f>
        <v>0</v>
      </c>
      <c r="M17" s="1">
        <f>_xlfn.XLOOKUP(K17,'Costo materia prima'!$D$3:$D$31,'Costo materia prima'!$E$3:$E$31)</f>
        <v>50000</v>
      </c>
      <c r="N17" s="20">
        <f t="shared" si="1"/>
        <v>0</v>
      </c>
    </row>
    <row r="18" spans="2:14" x14ac:dyDescent="0.3">
      <c r="B18" s="7" t="s">
        <v>126</v>
      </c>
      <c r="C18" s="7" t="s">
        <v>99</v>
      </c>
      <c r="D18" s="8">
        <f>Production!C6</f>
        <v>245</v>
      </c>
      <c r="E18" s="9">
        <v>4000</v>
      </c>
      <c r="F18" s="9">
        <f t="shared" ref="F18:F20" si="3">D18*E18</f>
        <v>980000</v>
      </c>
      <c r="K18" t="s">
        <v>61</v>
      </c>
      <c r="L18" s="1">
        <f>IFERROR(0+_xlfn.XLOOKUP(K18,'Products &amp; Materials'!$B$40:$AD$40,'Products &amp; Materials'!$B$41:$AD$41),0)</f>
        <v>2</v>
      </c>
      <c r="M18" s="1">
        <f>_xlfn.XLOOKUP(K18,'Costo materia prima'!$D$3:$D$31,'Costo materia prima'!$E$3:$E$31)</f>
        <v>150000</v>
      </c>
      <c r="N18" s="20">
        <f t="shared" si="1"/>
        <v>300000</v>
      </c>
    </row>
    <row r="19" spans="2:14" x14ac:dyDescent="0.3">
      <c r="B19" s="7" t="s">
        <v>126</v>
      </c>
      <c r="C19" s="7" t="s">
        <v>118</v>
      </c>
      <c r="D19" s="8">
        <f>Production!D6</f>
        <v>150</v>
      </c>
      <c r="E19" s="9">
        <v>2500</v>
      </c>
      <c r="F19" s="9">
        <f t="shared" si="3"/>
        <v>375000</v>
      </c>
      <c r="K19" t="s">
        <v>62</v>
      </c>
      <c r="L19" s="1">
        <f>IFERROR(0+_xlfn.XLOOKUP(K19,'Products &amp; Materials'!$B$40:$AD$40,'Products &amp; Materials'!$B$41:$AD$41),0)</f>
        <v>0</v>
      </c>
      <c r="M19" s="1">
        <f>_xlfn.XLOOKUP(K19,'Costo materia prima'!$D$3:$D$31,'Costo materia prima'!$E$3:$E$31)</f>
        <v>50000</v>
      </c>
      <c r="N19" s="20">
        <f t="shared" si="1"/>
        <v>0</v>
      </c>
    </row>
    <row r="20" spans="2:14" x14ac:dyDescent="0.3">
      <c r="B20" s="7" t="s">
        <v>126</v>
      </c>
      <c r="C20" s="7" t="s">
        <v>119</v>
      </c>
      <c r="D20" s="8">
        <f>Production!E6</f>
        <v>100</v>
      </c>
      <c r="E20" s="9">
        <v>2500</v>
      </c>
      <c r="F20" s="9">
        <f t="shared" si="3"/>
        <v>250000</v>
      </c>
      <c r="K20" t="s">
        <v>63</v>
      </c>
      <c r="L20" s="1">
        <f>IFERROR(0+_xlfn.XLOOKUP(K20,'Products &amp; Materials'!$B$40:$AD$40,'Products &amp; Materials'!$B$41:$AD$41),0)</f>
        <v>0</v>
      </c>
      <c r="M20" s="1">
        <f>_xlfn.XLOOKUP(K20,'Costo materia prima'!$D$3:$D$31,'Costo materia prima'!$E$3:$E$31)</f>
        <v>50000</v>
      </c>
      <c r="N20" s="20">
        <f t="shared" si="1"/>
        <v>0</v>
      </c>
    </row>
    <row r="21" spans="2:14" x14ac:dyDescent="0.3">
      <c r="B21" s="5"/>
      <c r="C21" s="5"/>
      <c r="D21" s="3"/>
      <c r="E21" s="4" t="s">
        <v>128</v>
      </c>
      <c r="F21" s="12">
        <f>SUM(F17:F20)</f>
        <v>1665000</v>
      </c>
      <c r="K21" t="s">
        <v>74</v>
      </c>
      <c r="L21" s="1">
        <f>IFERROR(0+_xlfn.XLOOKUP(K21,'Products &amp; Materials'!$B$40:$AD$40,'Products &amp; Materials'!$B$41:$AD$41),0)</f>
        <v>4</v>
      </c>
      <c r="M21" s="1">
        <f>_xlfn.XLOOKUP(K21,'Costo materia prima'!$D$3:$D$31,'Costo materia prima'!$E$3:$E$31)</f>
        <v>5000</v>
      </c>
      <c r="N21" s="20">
        <f t="shared" si="1"/>
        <v>20000</v>
      </c>
    </row>
    <row r="22" spans="2:14" x14ac:dyDescent="0.3">
      <c r="K22" t="s">
        <v>64</v>
      </c>
      <c r="L22" s="1">
        <f>IFERROR(0+_xlfn.XLOOKUP(K22,'Products &amp; Materials'!$B$40:$AD$40,'Products &amp; Materials'!$B$41:$AD$41),0)</f>
        <v>8</v>
      </c>
      <c r="M22" s="1">
        <f>_xlfn.XLOOKUP(K22,'Costo materia prima'!$D$3:$D$31,'Costo materia prima'!$E$3:$E$31)</f>
        <v>50000</v>
      </c>
      <c r="N22" s="20">
        <f t="shared" si="1"/>
        <v>400000</v>
      </c>
    </row>
    <row r="23" spans="2:14" x14ac:dyDescent="0.3">
      <c r="K23" t="s">
        <v>65</v>
      </c>
      <c r="L23" s="1">
        <f>IFERROR(0+_xlfn.XLOOKUP(K23,'Products &amp; Materials'!$B$40:$AD$40,'Products &amp; Materials'!$B$41:$AD$41),0)</f>
        <v>2</v>
      </c>
      <c r="M23" s="1">
        <f>_xlfn.XLOOKUP(K23,'Costo materia prima'!$D$3:$D$31,'Costo materia prima'!$E$3:$E$31)</f>
        <v>100000</v>
      </c>
      <c r="N23" s="20">
        <f t="shared" si="1"/>
        <v>200000</v>
      </c>
    </row>
    <row r="24" spans="2:14" x14ac:dyDescent="0.3">
      <c r="K24" t="s">
        <v>66</v>
      </c>
      <c r="L24" s="1">
        <f>IFERROR(0+_xlfn.XLOOKUP(K24,'Products &amp; Materials'!$B$40:$AD$40,'Products &amp; Materials'!$B$41:$AD$41),0)</f>
        <v>2</v>
      </c>
      <c r="M24" s="1">
        <f>_xlfn.XLOOKUP(K24,'Costo materia prima'!$D$3:$D$31,'Costo materia prima'!$E$3:$E$31)</f>
        <v>150000</v>
      </c>
      <c r="N24" s="20">
        <f t="shared" si="1"/>
        <v>300000</v>
      </c>
    </row>
    <row r="25" spans="2:14" x14ac:dyDescent="0.3">
      <c r="K25" t="s">
        <v>67</v>
      </c>
      <c r="L25" s="1">
        <f>IFERROR(0+_xlfn.XLOOKUP(K25,'Products &amp; Materials'!$B$40:$AD$40,'Products &amp; Materials'!$B$41:$AD$41),0)</f>
        <v>3</v>
      </c>
      <c r="M25" s="1">
        <f>_xlfn.XLOOKUP(K25,'Costo materia prima'!$D$3:$D$31,'Costo materia prima'!$E$3:$E$31)</f>
        <v>50000</v>
      </c>
      <c r="N25" s="20">
        <f t="shared" si="1"/>
        <v>150000</v>
      </c>
    </row>
    <row r="26" spans="2:14" ht="18" customHeight="1" x14ac:dyDescent="0.3">
      <c r="B26" s="10" t="s">
        <v>112</v>
      </c>
      <c r="C26" s="11" t="s">
        <v>121</v>
      </c>
      <c r="D26" s="11" t="s">
        <v>122</v>
      </c>
      <c r="E26" s="11" t="s">
        <v>123</v>
      </c>
      <c r="F26" s="11" t="s">
        <v>124</v>
      </c>
      <c r="K26" t="s">
        <v>68</v>
      </c>
      <c r="L26" s="1">
        <f>IFERROR(0+_xlfn.XLOOKUP(K26,'Products &amp; Materials'!$B$40:$AD$40,'Products &amp; Materials'!$B$41:$AD$41),0)</f>
        <v>0</v>
      </c>
      <c r="M26" s="1">
        <f>_xlfn.XLOOKUP(K26,'Costo materia prima'!$D$3:$D$31,'Costo materia prima'!$E$3:$E$31)</f>
        <v>5000</v>
      </c>
      <c r="N26" s="20">
        <f t="shared" si="1"/>
        <v>0</v>
      </c>
    </row>
    <row r="27" spans="2:14" x14ac:dyDescent="0.3">
      <c r="B27" s="7" t="s">
        <v>117</v>
      </c>
      <c r="C27" s="17">
        <f>N33</f>
        <v>3927000</v>
      </c>
      <c r="D27" s="9">
        <f>F7</f>
        <v>1642500</v>
      </c>
      <c r="E27" s="18">
        <f>C27+D27</f>
        <v>5569500</v>
      </c>
      <c r="F27" s="18">
        <f>R3</f>
        <v>7000000</v>
      </c>
      <c r="K27" t="s">
        <v>69</v>
      </c>
      <c r="L27" s="1">
        <f>IFERROR(0+_xlfn.XLOOKUP(K27,'Products &amp; Materials'!$B$40:$AD$40,'Products &amp; Materials'!$B$41:$AD$41),0)</f>
        <v>1</v>
      </c>
      <c r="M27" s="1">
        <f>_xlfn.XLOOKUP(K27,'Costo materia prima'!$D$3:$D$31,'Costo materia prima'!$E$3:$E$31)</f>
        <v>5000</v>
      </c>
      <c r="N27" s="20">
        <f t="shared" si="1"/>
        <v>5000</v>
      </c>
    </row>
    <row r="28" spans="2:14" x14ac:dyDescent="0.3">
      <c r="B28" s="7" t="s">
        <v>125</v>
      </c>
      <c r="C28" s="17">
        <f>N66</f>
        <v>2988000</v>
      </c>
      <c r="D28" s="9">
        <f>F14</f>
        <v>1378500</v>
      </c>
      <c r="E28" s="18">
        <f t="shared" ref="E28:E29" si="4">C28+D28</f>
        <v>4366500</v>
      </c>
      <c r="F28" s="18">
        <f>R4</f>
        <v>9000000</v>
      </c>
      <c r="K28" t="s">
        <v>70</v>
      </c>
      <c r="L28" s="1">
        <f>IFERROR(0+_xlfn.XLOOKUP(K28,'Products &amp; Materials'!$B$40:$AD$40,'Products &amp; Materials'!$B$41:$AD$41),0)</f>
        <v>28</v>
      </c>
      <c r="M28" s="1">
        <f>_xlfn.XLOOKUP(K28,'Costo materia prima'!$D$3:$D$31,'Costo materia prima'!$E$3:$E$31)</f>
        <v>4000</v>
      </c>
      <c r="N28" s="20">
        <f t="shared" si="1"/>
        <v>112000</v>
      </c>
    </row>
    <row r="29" spans="2:14" x14ac:dyDescent="0.3">
      <c r="B29" s="7" t="s">
        <v>126</v>
      </c>
      <c r="C29" s="17">
        <f>N99</f>
        <v>3340000</v>
      </c>
      <c r="D29" s="9">
        <f>F21</f>
        <v>1665000</v>
      </c>
      <c r="E29" s="18">
        <f t="shared" si="4"/>
        <v>5005000</v>
      </c>
      <c r="F29" s="18">
        <f>R5</f>
        <v>11000000</v>
      </c>
      <c r="K29" t="s">
        <v>75</v>
      </c>
      <c r="L29" s="1">
        <f>IFERROR(0+_xlfn.XLOOKUP(K29,'Products &amp; Materials'!$B$40:$AD$40,'Products &amp; Materials'!$B$41:$AD$41),0)</f>
        <v>0</v>
      </c>
      <c r="M29" s="1">
        <f>_xlfn.XLOOKUP(K29,'Costo materia prima'!$D$3:$D$31,'Costo materia prima'!$E$3:$E$31)</f>
        <v>300000</v>
      </c>
      <c r="N29" s="20">
        <f t="shared" si="1"/>
        <v>0</v>
      </c>
    </row>
    <row r="30" spans="2:14" x14ac:dyDescent="0.3">
      <c r="K30" t="s">
        <v>76</v>
      </c>
      <c r="L30" s="1">
        <f>IFERROR(0+_xlfn.XLOOKUP(K30,'Products &amp; Materials'!$B$40:$AD$40,'Products &amp; Materials'!$B$41:$AD$41),0)</f>
        <v>2</v>
      </c>
      <c r="M30" s="1">
        <f>_xlfn.XLOOKUP(K30,'Costo materia prima'!$D$3:$D$31,'Costo materia prima'!$E$3:$E$31)</f>
        <v>300000</v>
      </c>
      <c r="N30" s="20">
        <f t="shared" si="1"/>
        <v>600000</v>
      </c>
    </row>
    <row r="31" spans="2:14" x14ac:dyDescent="0.3">
      <c r="K31" t="s">
        <v>77</v>
      </c>
      <c r="L31" s="1">
        <f>IFERROR(0+_xlfn.XLOOKUP(K31,'Products &amp; Materials'!$B$40:$AD$40,'Products &amp; Materials'!$B$41:$AD$41),0)</f>
        <v>0</v>
      </c>
      <c r="M31" s="1">
        <f>_xlfn.XLOOKUP(K31,'Costo materia prima'!$D$3:$D$31,'Costo materia prima'!$E$3:$E$31)</f>
        <v>550000</v>
      </c>
      <c r="N31" s="20">
        <f t="shared" si="1"/>
        <v>0</v>
      </c>
    </row>
    <row r="33" spans="2:14" x14ac:dyDescent="0.3">
      <c r="K33" s="16" t="s">
        <v>138</v>
      </c>
      <c r="L33" s="1"/>
      <c r="M33" s="1"/>
      <c r="N33" s="19">
        <f>SUM(N3:N31)</f>
        <v>3927000</v>
      </c>
    </row>
    <row r="35" spans="2:14" x14ac:dyDescent="0.3">
      <c r="K35" s="2" t="s">
        <v>131</v>
      </c>
      <c r="L35" s="2" t="s">
        <v>136</v>
      </c>
      <c r="M35" s="2" t="s">
        <v>132</v>
      </c>
      <c r="N35" s="4" t="s">
        <v>137</v>
      </c>
    </row>
    <row r="36" spans="2:14" x14ac:dyDescent="0.3">
      <c r="K36" s="5" t="s">
        <v>49</v>
      </c>
      <c r="L36" s="1">
        <f>IFERROR(0+_xlfn.XLOOKUP(K36,'Products &amp; Materials'!$B$40:$AD$40,'Products &amp; Materials'!$B$42:$AD$42),0)</f>
        <v>2</v>
      </c>
      <c r="M36" s="1">
        <f>_xlfn.XLOOKUP(K36,'Costo materia prima'!$D$3:$D$31,'Costo materia prima'!$E$3:$E$31)</f>
        <v>10000</v>
      </c>
      <c r="N36" s="20">
        <f>IFERROR(L36*M36,0)</f>
        <v>20000</v>
      </c>
    </row>
    <row r="37" spans="2:14" x14ac:dyDescent="0.3">
      <c r="K37" s="5" t="s">
        <v>50</v>
      </c>
      <c r="L37" s="1">
        <f>IFERROR(0+_xlfn.XLOOKUP(K37,'Products &amp; Materials'!$B$40:$AD$40,'Products &amp; Materials'!$B$42:$AD$42),0)</f>
        <v>6</v>
      </c>
      <c r="M37" s="1">
        <f>_xlfn.XLOOKUP(K37,'Costo materia prima'!$D$3:$D$31,'Costo materia prima'!$E$3:$E$31)</f>
        <v>20000</v>
      </c>
      <c r="N37" s="20">
        <f t="shared" ref="N37:N64" si="5">IFERROR(L37*M37,0)</f>
        <v>120000</v>
      </c>
    </row>
    <row r="38" spans="2:14" x14ac:dyDescent="0.3">
      <c r="D38" s="4"/>
      <c r="E38" s="4"/>
      <c r="K38" s="5" t="s">
        <v>51</v>
      </c>
      <c r="L38" s="1">
        <f>IFERROR(0+_xlfn.XLOOKUP(K38,'Products &amp; Materials'!$B$40:$AD$40,'Products &amp; Materials'!$B$42:$AD$42),0)</f>
        <v>8</v>
      </c>
      <c r="M38" s="1">
        <f>_xlfn.XLOOKUP(K38,'Costo materia prima'!$D$3:$D$31,'Costo materia prima'!$E$3:$E$31)</f>
        <v>40000</v>
      </c>
      <c r="N38" s="20">
        <f t="shared" si="5"/>
        <v>320000</v>
      </c>
    </row>
    <row r="39" spans="2:14" x14ac:dyDescent="0.3">
      <c r="B39" s="5"/>
      <c r="C39" s="3"/>
      <c r="D39" s="3"/>
      <c r="E39" s="3"/>
      <c r="K39" t="s">
        <v>52</v>
      </c>
      <c r="L39" s="1">
        <f>IFERROR(0+_xlfn.XLOOKUP(K39,'Products &amp; Materials'!$B$40:$AD$40,'Products &amp; Materials'!$B$42:$AD$42),0)</f>
        <v>2</v>
      </c>
      <c r="M39" s="1">
        <f>_xlfn.XLOOKUP(K39,'Costo materia prima'!$D$3:$D$31,'Costo materia prima'!$E$3:$E$31)</f>
        <v>25000</v>
      </c>
      <c r="N39" s="20">
        <f t="shared" si="5"/>
        <v>50000</v>
      </c>
    </row>
    <row r="40" spans="2:14" x14ac:dyDescent="0.3">
      <c r="B40" s="5"/>
      <c r="C40" s="3"/>
      <c r="D40" s="3"/>
      <c r="E40" s="3"/>
      <c r="K40" t="s">
        <v>71</v>
      </c>
      <c r="L40" s="1">
        <f>IFERROR(0+_xlfn.XLOOKUP(K40,'Products &amp; Materials'!$B$40:$AD$40,'Products &amp; Materials'!$B$42:$AD$42),0)</f>
        <v>4</v>
      </c>
      <c r="M40" s="1">
        <f>_xlfn.XLOOKUP(K40,'Costo materia prima'!$D$3:$D$31,'Costo materia prima'!$E$3:$E$31)</f>
        <v>40000</v>
      </c>
      <c r="N40" s="20">
        <f t="shared" si="5"/>
        <v>160000</v>
      </c>
    </row>
    <row r="41" spans="2:14" x14ac:dyDescent="0.3">
      <c r="B41" s="5"/>
      <c r="C41" s="3"/>
      <c r="D41" s="3"/>
      <c r="E41" s="3"/>
      <c r="K41" t="s">
        <v>72</v>
      </c>
      <c r="L41" s="1">
        <f>IFERROR(0+_xlfn.XLOOKUP(K41,'Products &amp; Materials'!$B$40:$AD$40,'Products &amp; Materials'!$B$42:$AD$42),0)</f>
        <v>4</v>
      </c>
      <c r="M41" s="1">
        <f>_xlfn.XLOOKUP(K41,'Costo materia prima'!$D$3:$D$31,'Costo materia prima'!$E$3:$E$31)</f>
        <v>30000</v>
      </c>
      <c r="N41" s="20">
        <f t="shared" si="5"/>
        <v>120000</v>
      </c>
    </row>
    <row r="42" spans="2:14" x14ac:dyDescent="0.3">
      <c r="B42" s="16"/>
      <c r="C42" s="3"/>
      <c r="D42" s="3"/>
      <c r="E42" s="4"/>
      <c r="K42" t="s">
        <v>73</v>
      </c>
      <c r="L42" s="1">
        <f>IFERROR(0+_xlfn.XLOOKUP(K42,'Products &amp; Materials'!$B$40:$AD$40,'Products &amp; Materials'!$B$42:$AD$42),0)</f>
        <v>0</v>
      </c>
      <c r="M42" s="1">
        <f>_xlfn.XLOOKUP(K42,'Costo materia prima'!$D$3:$D$31,'Costo materia prima'!$E$3:$E$31)</f>
        <v>20000</v>
      </c>
      <c r="N42" s="20">
        <f t="shared" si="5"/>
        <v>0</v>
      </c>
    </row>
    <row r="43" spans="2:14" x14ac:dyDescent="0.3">
      <c r="K43" t="s">
        <v>53</v>
      </c>
      <c r="L43" s="1">
        <f>IFERROR(0+_xlfn.XLOOKUP(K43,'Products &amp; Materials'!$B$40:$AD$40,'Products &amp; Materials'!$B$42:$AD$42),0)</f>
        <v>3</v>
      </c>
      <c r="M43" s="1">
        <f>_xlfn.XLOOKUP(K43,'Costo materia prima'!$D$3:$D$31,'Costo materia prima'!$E$3:$E$31)</f>
        <v>20000</v>
      </c>
      <c r="N43" s="20">
        <f t="shared" si="5"/>
        <v>60000</v>
      </c>
    </row>
    <row r="44" spans="2:14" x14ac:dyDescent="0.3">
      <c r="K44" t="s">
        <v>54</v>
      </c>
      <c r="L44" s="1">
        <f>IFERROR(0+_xlfn.XLOOKUP(K44,'Products &amp; Materials'!$B$40:$AD$40,'Products &amp; Materials'!$B$42:$AD$42),0)</f>
        <v>4</v>
      </c>
      <c r="M44" s="1">
        <f>_xlfn.XLOOKUP(K44,'Costo materia prima'!$D$3:$D$31,'Costo materia prima'!$E$3:$E$31)</f>
        <v>40000</v>
      </c>
      <c r="N44" s="20">
        <f t="shared" si="5"/>
        <v>160000</v>
      </c>
    </row>
    <row r="45" spans="2:14" x14ac:dyDescent="0.3">
      <c r="K45" t="s">
        <v>55</v>
      </c>
      <c r="L45" s="1">
        <f>IFERROR(0+_xlfn.XLOOKUP(K45,'Products &amp; Materials'!$B$40:$AD$40,'Products &amp; Materials'!$B$42:$AD$42),0)</f>
        <v>0</v>
      </c>
      <c r="M45" s="1">
        <f>_xlfn.XLOOKUP(K45,'Costo materia prima'!$D$3:$D$31,'Costo materia prima'!$E$3:$E$31)</f>
        <v>100000</v>
      </c>
      <c r="N45" s="20">
        <f t="shared" si="5"/>
        <v>0</v>
      </c>
    </row>
    <row r="46" spans="2:14" x14ac:dyDescent="0.3">
      <c r="K46" t="s">
        <v>56</v>
      </c>
      <c r="L46" s="1">
        <f>IFERROR(0+_xlfn.XLOOKUP(K46,'Products &amp; Materials'!$B$40:$AD$40,'Products &amp; Materials'!$B$42:$AD$42),0)</f>
        <v>0</v>
      </c>
      <c r="M46" s="1">
        <f>_xlfn.XLOOKUP(K46,'Costo materia prima'!$D$3:$D$31,'Costo materia prima'!$E$3:$E$31)</f>
        <v>50000</v>
      </c>
      <c r="N46" s="20">
        <f t="shared" si="5"/>
        <v>0</v>
      </c>
    </row>
    <row r="47" spans="2:14" x14ac:dyDescent="0.3">
      <c r="K47" t="s">
        <v>57</v>
      </c>
      <c r="L47" s="1">
        <f>IFERROR(0+_xlfn.XLOOKUP(K47,'Products &amp; Materials'!$B$40:$AD$40,'Products &amp; Materials'!$B$42:$AD$42),0)</f>
        <v>2</v>
      </c>
      <c r="M47" s="1">
        <f>_xlfn.XLOOKUP(K47,'Costo materia prima'!$D$3:$D$31,'Costo materia prima'!$E$3:$E$31)</f>
        <v>40000</v>
      </c>
      <c r="N47" s="20">
        <f t="shared" si="5"/>
        <v>80000</v>
      </c>
    </row>
    <row r="48" spans="2:14" x14ac:dyDescent="0.3">
      <c r="K48" t="s">
        <v>58</v>
      </c>
      <c r="L48" s="1">
        <f>IFERROR(0+_xlfn.XLOOKUP(K48,'Products &amp; Materials'!$B$40:$AD$40,'Products &amp; Materials'!$B$42:$AD$42),0)</f>
        <v>0</v>
      </c>
      <c r="M48" s="1">
        <f>_xlfn.XLOOKUP(K48,'Costo materia prima'!$D$3:$D$31,'Costo materia prima'!$E$3:$E$31)</f>
        <v>50000</v>
      </c>
      <c r="N48" s="20">
        <f t="shared" si="5"/>
        <v>0</v>
      </c>
    </row>
    <row r="49" spans="11:14" x14ac:dyDescent="0.3">
      <c r="K49" t="s">
        <v>59</v>
      </c>
      <c r="L49" s="1">
        <f>IFERROR(0+_xlfn.XLOOKUP(K49,'Products &amp; Materials'!$B$40:$AD$40,'Products &amp; Materials'!$B$42:$AD$42),0)</f>
        <v>0</v>
      </c>
      <c r="M49" s="1">
        <f>_xlfn.XLOOKUP(K49,'Costo materia prima'!$D$3:$D$31,'Costo materia prima'!$E$3:$E$31)</f>
        <v>50000</v>
      </c>
      <c r="N49" s="20">
        <f t="shared" si="5"/>
        <v>0</v>
      </c>
    </row>
    <row r="50" spans="11:14" x14ac:dyDescent="0.3">
      <c r="K50" t="s">
        <v>60</v>
      </c>
      <c r="L50" s="1">
        <f>IFERROR(0+_xlfn.XLOOKUP(K50,'Products &amp; Materials'!$B$40:$AD$40,'Products &amp; Materials'!$B$42:$AD$42),0)</f>
        <v>0</v>
      </c>
      <c r="M50" s="1">
        <f>_xlfn.XLOOKUP(K50,'Costo materia prima'!$D$3:$D$31,'Costo materia prima'!$E$3:$E$31)</f>
        <v>50000</v>
      </c>
      <c r="N50" s="20">
        <f t="shared" si="5"/>
        <v>0</v>
      </c>
    </row>
    <row r="51" spans="11:14" x14ac:dyDescent="0.3">
      <c r="K51" t="s">
        <v>61</v>
      </c>
      <c r="L51" s="1">
        <f>IFERROR(0+_xlfn.XLOOKUP(K51,'Products &amp; Materials'!$B$40:$AD$40,'Products &amp; Materials'!$B$42:$AD$42),0)</f>
        <v>0</v>
      </c>
      <c r="M51" s="1">
        <f>_xlfn.XLOOKUP(K51,'Costo materia prima'!$D$3:$D$31,'Costo materia prima'!$E$3:$E$31)</f>
        <v>150000</v>
      </c>
      <c r="N51" s="20">
        <f t="shared" si="5"/>
        <v>0</v>
      </c>
    </row>
    <row r="52" spans="11:14" x14ac:dyDescent="0.3">
      <c r="K52" t="s">
        <v>62</v>
      </c>
      <c r="L52" s="1">
        <f>IFERROR(0+_xlfn.XLOOKUP(K52,'Products &amp; Materials'!$B$40:$AD$40,'Products &amp; Materials'!$B$42:$AD$42),0)</f>
        <v>4</v>
      </c>
      <c r="M52" s="1">
        <f>_xlfn.XLOOKUP(K52,'Costo materia prima'!$D$3:$D$31,'Costo materia prima'!$E$3:$E$31)</f>
        <v>50000</v>
      </c>
      <c r="N52" s="20">
        <f t="shared" si="5"/>
        <v>200000</v>
      </c>
    </row>
    <row r="53" spans="11:14" x14ac:dyDescent="0.3">
      <c r="K53" t="s">
        <v>63</v>
      </c>
      <c r="L53" s="1">
        <f>IFERROR(0+_xlfn.XLOOKUP(K53,'Products &amp; Materials'!$B$40:$AD$40,'Products &amp; Materials'!$B$42:$AD$42),0)</f>
        <v>0</v>
      </c>
      <c r="M53" s="1">
        <f>_xlfn.XLOOKUP(K53,'Costo materia prima'!$D$3:$D$31,'Costo materia prima'!$E$3:$E$31)</f>
        <v>50000</v>
      </c>
      <c r="N53" s="20">
        <f t="shared" si="5"/>
        <v>0</v>
      </c>
    </row>
    <row r="54" spans="11:14" x14ac:dyDescent="0.3">
      <c r="K54" t="s">
        <v>74</v>
      </c>
      <c r="L54" s="1">
        <f>IFERROR(0+_xlfn.XLOOKUP(K54,'Products &amp; Materials'!$B$40:$AD$40,'Products &amp; Materials'!$B$42:$AD$42),0)</f>
        <v>4</v>
      </c>
      <c r="M54" s="1">
        <f>_xlfn.XLOOKUP(K54,'Costo materia prima'!$D$3:$D$31,'Costo materia prima'!$E$3:$E$31)</f>
        <v>5000</v>
      </c>
      <c r="N54" s="20">
        <f t="shared" si="5"/>
        <v>20000</v>
      </c>
    </row>
    <row r="55" spans="11:14" x14ac:dyDescent="0.3">
      <c r="K55" t="s">
        <v>64</v>
      </c>
      <c r="L55" s="1">
        <f>IFERROR(0+_xlfn.XLOOKUP(K55,'Products &amp; Materials'!$B$40:$AD$40,'Products &amp; Materials'!$B$42:$AD$42),0)</f>
        <v>5</v>
      </c>
      <c r="M55" s="1">
        <f>_xlfn.XLOOKUP(K55,'Costo materia prima'!$D$3:$D$31,'Costo materia prima'!$E$3:$E$31)</f>
        <v>50000</v>
      </c>
      <c r="N55" s="20">
        <f t="shared" si="5"/>
        <v>250000</v>
      </c>
    </row>
    <row r="56" spans="11:14" x14ac:dyDescent="0.3">
      <c r="K56" t="s">
        <v>65</v>
      </c>
      <c r="L56" s="1">
        <f>IFERROR(0+_xlfn.XLOOKUP(K56,'Products &amp; Materials'!$B$40:$AD$40,'Products &amp; Materials'!$B$42:$AD$42),0)</f>
        <v>0</v>
      </c>
      <c r="M56" s="1">
        <f>_xlfn.XLOOKUP(K56,'Costo materia prima'!$D$3:$D$31,'Costo materia prima'!$E$3:$E$31)</f>
        <v>100000</v>
      </c>
      <c r="N56" s="20">
        <f t="shared" si="5"/>
        <v>0</v>
      </c>
    </row>
    <row r="57" spans="11:14" x14ac:dyDescent="0.3">
      <c r="K57" t="s">
        <v>66</v>
      </c>
      <c r="L57" s="1">
        <f>IFERROR(0+_xlfn.XLOOKUP(K57,'Products &amp; Materials'!$B$40:$AD$40,'Products &amp; Materials'!$B$42:$AD$42),0)</f>
        <v>0</v>
      </c>
      <c r="M57" s="1">
        <f>_xlfn.XLOOKUP(K57,'Costo materia prima'!$D$3:$D$31,'Costo materia prima'!$E$3:$E$31)</f>
        <v>150000</v>
      </c>
      <c r="N57" s="20">
        <f t="shared" si="5"/>
        <v>0</v>
      </c>
    </row>
    <row r="58" spans="11:14" x14ac:dyDescent="0.3">
      <c r="K58" t="s">
        <v>67</v>
      </c>
      <c r="L58" s="1">
        <f>IFERROR(0+_xlfn.XLOOKUP(K58,'Products &amp; Materials'!$B$40:$AD$40,'Products &amp; Materials'!$B$42:$AD$42),0)</f>
        <v>4</v>
      </c>
      <c r="M58" s="1">
        <f>_xlfn.XLOOKUP(K58,'Costo materia prima'!$D$3:$D$31,'Costo materia prima'!$E$3:$E$31)</f>
        <v>50000</v>
      </c>
      <c r="N58" s="20">
        <f t="shared" si="5"/>
        <v>200000</v>
      </c>
    </row>
    <row r="59" spans="11:14" x14ac:dyDescent="0.3">
      <c r="K59" t="s">
        <v>68</v>
      </c>
      <c r="L59" s="1">
        <f>IFERROR(0+_xlfn.XLOOKUP(K59,'Products &amp; Materials'!$B$40:$AD$40,'Products &amp; Materials'!$B$42:$AD$42),0)</f>
        <v>0</v>
      </c>
      <c r="M59" s="1">
        <f>_xlfn.XLOOKUP(K59,'Costo materia prima'!$D$3:$D$31,'Costo materia prima'!$E$3:$E$31)</f>
        <v>5000</v>
      </c>
      <c r="N59" s="20">
        <f t="shared" si="5"/>
        <v>0</v>
      </c>
    </row>
    <row r="60" spans="11:14" x14ac:dyDescent="0.3">
      <c r="K60" t="s">
        <v>69</v>
      </c>
      <c r="L60" s="1">
        <f>IFERROR(0+_xlfn.XLOOKUP(K60,'Products &amp; Materials'!$B$40:$AD$40,'Products &amp; Materials'!$B$42:$AD$42),0)</f>
        <v>0</v>
      </c>
      <c r="M60" s="1">
        <f>_xlfn.XLOOKUP(K60,'Costo materia prima'!$D$3:$D$31,'Costo materia prima'!$E$3:$E$31)</f>
        <v>5000</v>
      </c>
      <c r="N60" s="20">
        <f t="shared" si="5"/>
        <v>0</v>
      </c>
    </row>
    <row r="61" spans="11:14" x14ac:dyDescent="0.3">
      <c r="K61" t="s">
        <v>70</v>
      </c>
      <c r="L61" s="1">
        <f>IFERROR(0+_xlfn.XLOOKUP(K61,'Products &amp; Materials'!$B$40:$AD$40,'Products &amp; Materials'!$B$42:$AD$42),0)</f>
        <v>32</v>
      </c>
      <c r="M61" s="1">
        <f>_xlfn.XLOOKUP(K61,'Costo materia prima'!$D$3:$D$31,'Costo materia prima'!$E$3:$E$31)</f>
        <v>4000</v>
      </c>
      <c r="N61" s="20">
        <f t="shared" si="5"/>
        <v>128000</v>
      </c>
    </row>
    <row r="62" spans="11:14" x14ac:dyDescent="0.3">
      <c r="K62" t="s">
        <v>75</v>
      </c>
      <c r="L62" s="1">
        <f>IFERROR(0+_xlfn.XLOOKUP(K62,'Products &amp; Materials'!$B$40:$AD$40,'Products &amp; Materials'!$B$42:$AD$42),0)</f>
        <v>0</v>
      </c>
      <c r="M62" s="1">
        <f>_xlfn.XLOOKUP(K62,'Costo materia prima'!$D$3:$D$31,'Costo materia prima'!$E$3:$E$31)</f>
        <v>300000</v>
      </c>
      <c r="N62" s="20">
        <f t="shared" si="5"/>
        <v>0</v>
      </c>
    </row>
    <row r="63" spans="11:14" x14ac:dyDescent="0.3">
      <c r="K63" t="s">
        <v>76</v>
      </c>
      <c r="L63" s="1">
        <f>IFERROR(0+_xlfn.XLOOKUP(K63,'Products &amp; Materials'!$B$40:$AD$40,'Products &amp; Materials'!$B$42:$AD$42),0)</f>
        <v>0</v>
      </c>
      <c r="M63" s="1">
        <f>_xlfn.XLOOKUP(K63,'Costo materia prima'!$D$3:$D$31,'Costo materia prima'!$E$3:$E$31)</f>
        <v>300000</v>
      </c>
      <c r="N63" s="20">
        <f t="shared" si="5"/>
        <v>0</v>
      </c>
    </row>
    <row r="64" spans="11:14" x14ac:dyDescent="0.3">
      <c r="K64" t="s">
        <v>77</v>
      </c>
      <c r="L64" s="1">
        <f>IFERROR(0+_xlfn.XLOOKUP(K64,'Products &amp; Materials'!$B$40:$AD$40,'Products &amp; Materials'!$B$42:$AD$42),0)</f>
        <v>2</v>
      </c>
      <c r="M64" s="1">
        <f>_xlfn.XLOOKUP(K64,'Costo materia prima'!$D$3:$D$31,'Costo materia prima'!$E$3:$E$31)</f>
        <v>550000</v>
      </c>
      <c r="N64" s="20">
        <f t="shared" si="5"/>
        <v>1100000</v>
      </c>
    </row>
    <row r="66" spans="11:14" x14ac:dyDescent="0.3">
      <c r="K66" s="16" t="s">
        <v>139</v>
      </c>
      <c r="L66" s="1"/>
      <c r="M66" s="1"/>
      <c r="N66" s="19">
        <f>SUM(N36:N64)</f>
        <v>2988000</v>
      </c>
    </row>
    <row r="68" spans="11:14" x14ac:dyDescent="0.3">
      <c r="K68" s="2" t="s">
        <v>131</v>
      </c>
      <c r="L68" s="2" t="s">
        <v>136</v>
      </c>
      <c r="M68" s="2" t="s">
        <v>132</v>
      </c>
      <c r="N68" s="4" t="s">
        <v>137</v>
      </c>
    </row>
    <row r="69" spans="11:14" x14ac:dyDescent="0.3">
      <c r="K69" s="5" t="s">
        <v>49</v>
      </c>
      <c r="L69" s="1">
        <f>IFERROR(0+_xlfn.XLOOKUP(K69,'Products &amp; Materials'!$B$40:$AD$40,'Products &amp; Materials'!$B$43:$AD$43),0)</f>
        <v>2</v>
      </c>
      <c r="M69" s="1">
        <f>_xlfn.XLOOKUP(K69,'Costo materia prima'!$D$3:$D$31,'Costo materia prima'!$E$3:$E$31)</f>
        <v>10000</v>
      </c>
      <c r="N69" s="20">
        <f>IFERROR(L69*M69,0)</f>
        <v>20000</v>
      </c>
    </row>
    <row r="70" spans="11:14" x14ac:dyDescent="0.3">
      <c r="K70" s="5" t="s">
        <v>50</v>
      </c>
      <c r="L70" s="1">
        <f>IFERROR(0+_xlfn.XLOOKUP(K70,'Products &amp; Materials'!$B$40:$AD$40,'Products &amp; Materials'!$B$43:$AD$43),0)</f>
        <v>6</v>
      </c>
      <c r="M70" s="1">
        <f>_xlfn.XLOOKUP(K70,'Costo materia prima'!$D$3:$D$31,'Costo materia prima'!$E$3:$E$31)</f>
        <v>20000</v>
      </c>
      <c r="N70" s="20">
        <f>IFERROR(L70*M70,0)</f>
        <v>120000</v>
      </c>
    </row>
    <row r="71" spans="11:14" x14ac:dyDescent="0.3">
      <c r="K71" s="5" t="s">
        <v>51</v>
      </c>
      <c r="L71" s="1">
        <f>IFERROR(0+_xlfn.XLOOKUP(K71,'Products &amp; Materials'!$B$40:$AD$40,'Products &amp; Materials'!$B$43:$AD$43),0)</f>
        <v>8</v>
      </c>
      <c r="M71" s="1">
        <f>_xlfn.XLOOKUP(K71,'Costo materia prima'!$D$3:$D$31,'Costo materia prima'!$E$3:$E$31)</f>
        <v>40000</v>
      </c>
      <c r="N71" s="20">
        <f t="shared" ref="N71:N96" si="6">IFERROR(L71*M71,0)</f>
        <v>320000</v>
      </c>
    </row>
    <row r="72" spans="11:14" x14ac:dyDescent="0.3">
      <c r="K72" t="s">
        <v>52</v>
      </c>
      <c r="L72" s="1">
        <f>IFERROR(0+_xlfn.XLOOKUP(K72,'Products &amp; Materials'!$B$40:$AD$40,'Products &amp; Materials'!$B$43:$AD$43),0)</f>
        <v>2</v>
      </c>
      <c r="M72" s="1">
        <f>_xlfn.XLOOKUP(K72,'Costo materia prima'!$D$3:$D$31,'Costo materia prima'!$E$3:$E$31)</f>
        <v>25000</v>
      </c>
      <c r="N72" s="20">
        <f t="shared" si="6"/>
        <v>50000</v>
      </c>
    </row>
    <row r="73" spans="11:14" x14ac:dyDescent="0.3">
      <c r="K73" t="s">
        <v>71</v>
      </c>
      <c r="L73" s="1">
        <f>IFERROR(0+_xlfn.XLOOKUP(K73,'Products &amp; Materials'!$B$40:$AD$40,'Products &amp; Materials'!$B$43:$AD$43),0)</f>
        <v>0</v>
      </c>
      <c r="M73" s="1">
        <f>_xlfn.XLOOKUP(K73,'Costo materia prima'!$D$3:$D$31,'Costo materia prima'!$E$3:$E$31)</f>
        <v>40000</v>
      </c>
      <c r="N73" s="20">
        <f t="shared" si="6"/>
        <v>0</v>
      </c>
    </row>
    <row r="74" spans="11:14" x14ac:dyDescent="0.3">
      <c r="K74" t="s">
        <v>72</v>
      </c>
      <c r="L74" s="1">
        <f>IFERROR(0+_xlfn.XLOOKUP(K74,'Products &amp; Materials'!$B$40:$AD$40,'Products &amp; Materials'!$B$43:$AD$43),0)</f>
        <v>0</v>
      </c>
      <c r="M74" s="1">
        <f>_xlfn.XLOOKUP(K74,'Costo materia prima'!$D$3:$D$31,'Costo materia prima'!$E$3:$E$31)</f>
        <v>30000</v>
      </c>
      <c r="N74" s="20">
        <f t="shared" si="6"/>
        <v>0</v>
      </c>
    </row>
    <row r="75" spans="11:14" x14ac:dyDescent="0.3">
      <c r="K75" t="s">
        <v>73</v>
      </c>
      <c r="L75" s="1">
        <f>IFERROR(0+_xlfn.XLOOKUP(K75,'Products &amp; Materials'!$B$40:$AD$40,'Products &amp; Materials'!$B$43:$AD$43),0)</f>
        <v>4</v>
      </c>
      <c r="M75" s="1">
        <f>_xlfn.XLOOKUP(K75,'Costo materia prima'!$D$3:$D$31,'Costo materia prima'!$E$3:$E$31)</f>
        <v>20000</v>
      </c>
      <c r="N75" s="20">
        <f t="shared" si="6"/>
        <v>80000</v>
      </c>
    </row>
    <row r="76" spans="11:14" x14ac:dyDescent="0.3">
      <c r="K76" t="s">
        <v>53</v>
      </c>
      <c r="L76" s="1">
        <f>IFERROR(0+_xlfn.XLOOKUP(K76,'Products &amp; Materials'!$B$40:$AD$40,'Products &amp; Materials'!$B$43:$AD$43),0)</f>
        <v>3</v>
      </c>
      <c r="M76" s="1">
        <f>_xlfn.XLOOKUP(K76,'Costo materia prima'!$D$3:$D$31,'Costo materia prima'!$E$3:$E$31)</f>
        <v>20000</v>
      </c>
      <c r="N76" s="20">
        <f t="shared" si="6"/>
        <v>60000</v>
      </c>
    </row>
    <row r="77" spans="11:14" x14ac:dyDescent="0.3">
      <c r="K77" t="s">
        <v>54</v>
      </c>
      <c r="L77" s="1">
        <f>IFERROR(0+_xlfn.XLOOKUP(K77,'Products &amp; Materials'!$B$40:$AD$40,'Products &amp; Materials'!$B$43:$AD$43),0)</f>
        <v>3</v>
      </c>
      <c r="M77" s="1">
        <f>_xlfn.XLOOKUP(K77,'Costo materia prima'!$D$3:$D$31,'Costo materia prima'!$E$3:$E$31)</f>
        <v>40000</v>
      </c>
      <c r="N77" s="20">
        <f t="shared" si="6"/>
        <v>120000</v>
      </c>
    </row>
    <row r="78" spans="11:14" x14ac:dyDescent="0.3">
      <c r="K78" t="s">
        <v>55</v>
      </c>
      <c r="L78" s="1">
        <f>IFERROR(0+_xlfn.XLOOKUP(K78,'Products &amp; Materials'!$B$40:$AD$40,'Products &amp; Materials'!$B$43:$AD$43),0)</f>
        <v>3</v>
      </c>
      <c r="M78" s="1">
        <f>_xlfn.XLOOKUP(K78,'Costo materia prima'!$D$3:$D$31,'Costo materia prima'!$E$3:$E$31)</f>
        <v>100000</v>
      </c>
      <c r="N78" s="20">
        <f t="shared" si="6"/>
        <v>300000</v>
      </c>
    </row>
    <row r="79" spans="11:14" x14ac:dyDescent="0.3">
      <c r="K79" t="s">
        <v>56</v>
      </c>
      <c r="L79" s="1">
        <f>IFERROR(0+_xlfn.XLOOKUP(K79,'Products &amp; Materials'!$B$40:$AD$40,'Products &amp; Materials'!$B$43:$AD$43),0)</f>
        <v>3</v>
      </c>
      <c r="M79" s="1">
        <f>_xlfn.XLOOKUP(K79,'Costo materia prima'!$D$3:$D$31,'Costo materia prima'!$E$3:$E$31)</f>
        <v>50000</v>
      </c>
      <c r="N79" s="20">
        <f t="shared" si="6"/>
        <v>150000</v>
      </c>
    </row>
    <row r="80" spans="11:14" x14ac:dyDescent="0.3">
      <c r="K80" t="s">
        <v>57</v>
      </c>
      <c r="L80" s="1">
        <f>IFERROR(0+_xlfn.XLOOKUP(K80,'Products &amp; Materials'!$B$40:$AD$40,'Products &amp; Materials'!$B$43:$AD$43),0)</f>
        <v>2</v>
      </c>
      <c r="M80" s="1">
        <f>_xlfn.XLOOKUP(K80,'Costo materia prima'!$D$3:$D$31,'Costo materia prima'!$E$3:$E$31)</f>
        <v>40000</v>
      </c>
      <c r="N80" s="20">
        <f t="shared" si="6"/>
        <v>80000</v>
      </c>
    </row>
    <row r="81" spans="11:14" x14ac:dyDescent="0.3">
      <c r="K81" t="s">
        <v>58</v>
      </c>
      <c r="L81" s="1">
        <f>IFERROR(0+_xlfn.XLOOKUP(K81,'Products &amp; Materials'!$B$40:$AD$40,'Products &amp; Materials'!$B$43:$AD$43),0)</f>
        <v>2</v>
      </c>
      <c r="M81" s="1">
        <f>_xlfn.XLOOKUP(K81,'Costo materia prima'!$D$3:$D$31,'Costo materia prima'!$E$3:$E$31)</f>
        <v>50000</v>
      </c>
      <c r="N81" s="20">
        <f t="shared" si="6"/>
        <v>100000</v>
      </c>
    </row>
    <row r="82" spans="11:14" x14ac:dyDescent="0.3">
      <c r="K82" t="s">
        <v>59</v>
      </c>
      <c r="L82" s="1">
        <f>IFERROR(0+_xlfn.XLOOKUP(K82,'Products &amp; Materials'!$B$40:$AD$40,'Products &amp; Materials'!$B$43:$AD$43),0)</f>
        <v>2</v>
      </c>
      <c r="M82" s="1">
        <f>_xlfn.XLOOKUP(K82,'Costo materia prima'!$D$3:$D$31,'Costo materia prima'!$E$3:$E$31)</f>
        <v>50000</v>
      </c>
      <c r="N82" s="20">
        <f t="shared" si="6"/>
        <v>100000</v>
      </c>
    </row>
    <row r="83" spans="11:14" x14ac:dyDescent="0.3">
      <c r="K83" t="s">
        <v>60</v>
      </c>
      <c r="L83" s="1">
        <f>IFERROR(0+_xlfn.XLOOKUP(K83,'Products &amp; Materials'!$B$40:$AD$40,'Products &amp; Materials'!$B$43:$AD$43),0)</f>
        <v>0</v>
      </c>
      <c r="M83" s="1">
        <f>_xlfn.XLOOKUP(K83,'Costo materia prima'!$D$3:$D$31,'Costo materia prima'!$E$3:$E$31)</f>
        <v>50000</v>
      </c>
      <c r="N83" s="20">
        <f t="shared" si="6"/>
        <v>0</v>
      </c>
    </row>
    <row r="84" spans="11:14" x14ac:dyDescent="0.3">
      <c r="K84" t="s">
        <v>61</v>
      </c>
      <c r="L84" s="1">
        <f>IFERROR(0+_xlfn.XLOOKUP(K84,'Products &amp; Materials'!$B$40:$AD$40,'Products &amp; Materials'!$B$43:$AD$43),0)</f>
        <v>0</v>
      </c>
      <c r="M84" s="1">
        <f>_xlfn.XLOOKUP(K84,'Costo materia prima'!$D$3:$D$31,'Costo materia prima'!$E$3:$E$31)</f>
        <v>150000</v>
      </c>
      <c r="N84" s="20">
        <f t="shared" si="6"/>
        <v>0</v>
      </c>
    </row>
    <row r="85" spans="11:14" x14ac:dyDescent="0.3">
      <c r="K85" t="s">
        <v>62</v>
      </c>
      <c r="L85" s="1">
        <f>IFERROR(0+_xlfn.XLOOKUP(K85,'Products &amp; Materials'!$B$40:$AD$40,'Products &amp; Materials'!$B$43:$AD$43),0)</f>
        <v>4</v>
      </c>
      <c r="M85" s="1">
        <f>_xlfn.XLOOKUP(K85,'Costo materia prima'!$D$3:$D$31,'Costo materia prima'!$E$3:$E$31)</f>
        <v>50000</v>
      </c>
      <c r="N85" s="20">
        <f t="shared" si="6"/>
        <v>200000</v>
      </c>
    </row>
    <row r="86" spans="11:14" x14ac:dyDescent="0.3">
      <c r="K86" t="s">
        <v>63</v>
      </c>
      <c r="L86" s="1">
        <f>IFERROR(0+_xlfn.XLOOKUP(K86,'Products &amp; Materials'!$B$40:$AD$40,'Products &amp; Materials'!$B$43:$AD$43),0)</f>
        <v>0</v>
      </c>
      <c r="M86" s="1">
        <f>_xlfn.XLOOKUP(K86,'Costo materia prima'!$D$3:$D$31,'Costo materia prima'!$E$3:$E$31)</f>
        <v>50000</v>
      </c>
      <c r="N86" s="20">
        <f t="shared" si="6"/>
        <v>0</v>
      </c>
    </row>
    <row r="87" spans="11:14" x14ac:dyDescent="0.3">
      <c r="K87" t="s">
        <v>74</v>
      </c>
      <c r="L87" s="1">
        <f>IFERROR(0+_xlfn.XLOOKUP(K87,'Products &amp; Materials'!$B$40:$AD$40,'Products &amp; Materials'!$B$43:$AD$43),0)</f>
        <v>4</v>
      </c>
      <c r="M87" s="1">
        <f>_xlfn.XLOOKUP(K87,'Costo materia prima'!$D$3:$D$31,'Costo materia prima'!$E$3:$E$31)</f>
        <v>5000</v>
      </c>
      <c r="N87" s="20">
        <f t="shared" si="6"/>
        <v>20000</v>
      </c>
    </row>
    <row r="88" spans="11:14" x14ac:dyDescent="0.3">
      <c r="K88" t="s">
        <v>64</v>
      </c>
      <c r="L88" s="1">
        <f>IFERROR(0+_xlfn.XLOOKUP(K88,'Products &amp; Materials'!$B$40:$AD$40,'Products &amp; Materials'!$B$43:$AD$43),0)</f>
        <v>3</v>
      </c>
      <c r="M88" s="1">
        <f>_xlfn.XLOOKUP(K88,'Costo materia prima'!$D$3:$D$31,'Costo materia prima'!$E$3:$E$31)</f>
        <v>50000</v>
      </c>
      <c r="N88" s="20">
        <f t="shared" si="6"/>
        <v>150000</v>
      </c>
    </row>
    <row r="89" spans="11:14" x14ac:dyDescent="0.3">
      <c r="K89" t="s">
        <v>65</v>
      </c>
      <c r="L89" s="1">
        <f>IFERROR(0+_xlfn.XLOOKUP(K89,'Products &amp; Materials'!$B$40:$AD$40,'Products &amp; Materials'!$B$43:$AD$43),0)</f>
        <v>0</v>
      </c>
      <c r="M89" s="1">
        <f>_xlfn.XLOOKUP(K89,'Costo materia prima'!$D$3:$D$31,'Costo materia prima'!$E$3:$E$31)</f>
        <v>100000</v>
      </c>
      <c r="N89" s="20">
        <f t="shared" si="6"/>
        <v>0</v>
      </c>
    </row>
    <row r="90" spans="11:14" x14ac:dyDescent="0.3">
      <c r="K90" t="s">
        <v>66</v>
      </c>
      <c r="L90" s="1">
        <f>IFERROR(0+_xlfn.XLOOKUP(K90,'Products &amp; Materials'!$B$40:$AD$40,'Products &amp; Materials'!$B$43:$AD$43),0)</f>
        <v>0</v>
      </c>
      <c r="M90" s="1">
        <f>_xlfn.XLOOKUP(K90,'Costo materia prima'!$D$3:$D$31,'Costo materia prima'!$E$3:$E$31)</f>
        <v>150000</v>
      </c>
      <c r="N90" s="20">
        <f t="shared" si="6"/>
        <v>0</v>
      </c>
    </row>
    <row r="91" spans="11:14" x14ac:dyDescent="0.3">
      <c r="K91" t="s">
        <v>67</v>
      </c>
      <c r="L91" s="1">
        <f>IFERROR(0+_xlfn.XLOOKUP(K91,'Products &amp; Materials'!$B$40:$AD$40,'Products &amp; Materials'!$B$43:$AD$43),0)</f>
        <v>4</v>
      </c>
      <c r="M91" s="1">
        <f>_xlfn.XLOOKUP(K91,'Costo materia prima'!$D$3:$D$31,'Costo materia prima'!$E$3:$E$31)</f>
        <v>50000</v>
      </c>
      <c r="N91" s="20">
        <f t="shared" si="6"/>
        <v>200000</v>
      </c>
    </row>
    <row r="92" spans="11:14" x14ac:dyDescent="0.3">
      <c r="K92" t="s">
        <v>68</v>
      </c>
      <c r="L92" s="1">
        <f>IFERROR(0+_xlfn.XLOOKUP(K92,'Products &amp; Materials'!$B$40:$AD$40,'Products &amp; Materials'!$B$43:$AD$43),0)</f>
        <v>0</v>
      </c>
      <c r="M92" s="1">
        <f>_xlfn.XLOOKUP(K92,'Costo materia prima'!$D$3:$D$31,'Costo materia prima'!$E$3:$E$31)</f>
        <v>5000</v>
      </c>
      <c r="N92" s="20">
        <f t="shared" si="6"/>
        <v>0</v>
      </c>
    </row>
    <row r="93" spans="11:14" x14ac:dyDescent="0.3">
      <c r="K93" t="s">
        <v>69</v>
      </c>
      <c r="L93" s="1">
        <f>IFERROR(0+_xlfn.XLOOKUP(K93,'Products &amp; Materials'!$B$40:$AD$40,'Products &amp; Materials'!$B$43:$AD$43),0)</f>
        <v>2</v>
      </c>
      <c r="M93" s="1">
        <f>_xlfn.XLOOKUP(K93,'Costo materia prima'!$D$3:$D$31,'Costo materia prima'!$E$3:$E$31)</f>
        <v>5000</v>
      </c>
      <c r="N93" s="20">
        <f t="shared" si="6"/>
        <v>10000</v>
      </c>
    </row>
    <row r="94" spans="11:14" x14ac:dyDescent="0.3">
      <c r="K94" t="s">
        <v>70</v>
      </c>
      <c r="L94" s="1">
        <f>IFERROR(0+_xlfn.XLOOKUP(K94,'Products &amp; Materials'!$B$40:$AD$40,'Products &amp; Materials'!$B$43:$AD$43),0)</f>
        <v>40</v>
      </c>
      <c r="M94" s="1">
        <f>_xlfn.XLOOKUP(K94,'Costo materia prima'!$D$3:$D$31,'Costo materia prima'!$E$3:$E$31)</f>
        <v>4000</v>
      </c>
      <c r="N94" s="20">
        <f t="shared" si="6"/>
        <v>160000</v>
      </c>
    </row>
    <row r="95" spans="11:14" x14ac:dyDescent="0.3">
      <c r="K95" t="s">
        <v>75</v>
      </c>
      <c r="L95" s="1">
        <f>IFERROR(0+_xlfn.XLOOKUP(K95,'Products &amp; Materials'!$B$40:$AD$40,'Products &amp; Materials'!$B$43:$AD$43),0)</f>
        <v>0</v>
      </c>
      <c r="M95" s="1">
        <f>_xlfn.XLOOKUP(K95,'Costo materia prima'!$D$3:$D$31,'Costo materia prima'!$E$3:$E$31)</f>
        <v>300000</v>
      </c>
      <c r="N95" s="20">
        <f t="shared" si="6"/>
        <v>0</v>
      </c>
    </row>
    <row r="96" spans="11:14" x14ac:dyDescent="0.3">
      <c r="K96" t="s">
        <v>76</v>
      </c>
      <c r="L96" s="1">
        <f>IFERROR(0+_xlfn.XLOOKUP(K96,'Products &amp; Materials'!$B$40:$AD$40,'Products &amp; Materials'!$B$43:$AD$43),0)</f>
        <v>0</v>
      </c>
      <c r="M96" s="1">
        <f>_xlfn.XLOOKUP(K96,'Costo materia prima'!$D$3:$D$31,'Costo materia prima'!$E$3:$E$31)</f>
        <v>300000</v>
      </c>
      <c r="N96" s="20">
        <f t="shared" si="6"/>
        <v>0</v>
      </c>
    </row>
    <row r="97" spans="11:14" x14ac:dyDescent="0.3">
      <c r="K97" t="s">
        <v>77</v>
      </c>
      <c r="L97" s="1">
        <f>IFERROR(0+_xlfn.XLOOKUP(K97,'Products &amp; Materials'!$B$40:$AD$40,'Products &amp; Materials'!$B$43:$AD$43),0)</f>
        <v>2</v>
      </c>
      <c r="M97" s="1">
        <f>_xlfn.XLOOKUP(K97,'Costo materia prima'!$D$3:$D$31,'Costo materia prima'!$E$3:$E$31)</f>
        <v>550000</v>
      </c>
      <c r="N97" s="20">
        <f>IFERROR(L97*M97,0)</f>
        <v>1100000</v>
      </c>
    </row>
    <row r="99" spans="11:14" x14ac:dyDescent="0.3">
      <c r="K99" s="16" t="s">
        <v>140</v>
      </c>
      <c r="L99" s="1"/>
      <c r="M99" s="1"/>
      <c r="N99" s="19">
        <f>SUM(N69:N97)</f>
        <v>3340000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1CFD7-9505-4D9F-9F45-FE0EC4EC584E}">
  <dimension ref="B2:E31"/>
  <sheetViews>
    <sheetView zoomScale="80" zoomScaleNormal="80" workbookViewId="0">
      <selection activeCell="D21" sqref="D21"/>
    </sheetView>
  </sheetViews>
  <sheetFormatPr defaultRowHeight="15.6" x14ac:dyDescent="0.3"/>
  <cols>
    <col min="2" max="2" width="2.8984375" style="13" bestFit="1" customWidth="1"/>
    <col min="3" max="3" width="9.59765625" bestFit="1" customWidth="1"/>
    <col min="4" max="4" width="47.69921875" customWidth="1"/>
    <col min="5" max="5" width="29" customWidth="1"/>
  </cols>
  <sheetData>
    <row r="2" spans="2:5" x14ac:dyDescent="0.3">
      <c r="B2" s="11" t="s">
        <v>129</v>
      </c>
      <c r="C2" s="11" t="s">
        <v>130</v>
      </c>
      <c r="D2" s="11" t="s">
        <v>131</v>
      </c>
      <c r="E2" s="14" t="s">
        <v>132</v>
      </c>
    </row>
    <row r="3" spans="2:5" x14ac:dyDescent="0.3">
      <c r="B3" s="15">
        <v>1</v>
      </c>
      <c r="C3" s="7" t="s">
        <v>133</v>
      </c>
      <c r="D3" s="7" t="s">
        <v>49</v>
      </c>
      <c r="E3" s="9">
        <v>10000</v>
      </c>
    </row>
    <row r="4" spans="2:5" x14ac:dyDescent="0.3">
      <c r="B4" s="15">
        <v>2</v>
      </c>
      <c r="C4" s="7" t="s">
        <v>133</v>
      </c>
      <c r="D4" s="7" t="s">
        <v>50</v>
      </c>
      <c r="E4" s="9">
        <v>20000</v>
      </c>
    </row>
    <row r="5" spans="2:5" x14ac:dyDescent="0.3">
      <c r="B5" s="15">
        <v>3</v>
      </c>
      <c r="C5" s="7" t="s">
        <v>133</v>
      </c>
      <c r="D5" s="7" t="s">
        <v>51</v>
      </c>
      <c r="E5" s="9">
        <v>40000</v>
      </c>
    </row>
    <row r="6" spans="2:5" x14ac:dyDescent="0.3">
      <c r="B6" s="15">
        <v>4</v>
      </c>
      <c r="C6" s="7" t="s">
        <v>133</v>
      </c>
      <c r="D6" s="7" t="s">
        <v>52</v>
      </c>
      <c r="E6" s="9">
        <v>25000</v>
      </c>
    </row>
    <row r="7" spans="2:5" x14ac:dyDescent="0.3">
      <c r="B7" s="15">
        <v>23</v>
      </c>
      <c r="C7" s="7" t="s">
        <v>133</v>
      </c>
      <c r="D7" s="7" t="s">
        <v>71</v>
      </c>
      <c r="E7" s="9">
        <v>40000</v>
      </c>
    </row>
    <row r="8" spans="2:5" x14ac:dyDescent="0.3">
      <c r="B8" s="15">
        <v>24</v>
      </c>
      <c r="C8" s="7" t="s">
        <v>133</v>
      </c>
      <c r="D8" s="7" t="s">
        <v>72</v>
      </c>
      <c r="E8" s="9">
        <v>30000</v>
      </c>
    </row>
    <row r="9" spans="2:5" x14ac:dyDescent="0.3">
      <c r="B9" s="15">
        <v>25</v>
      </c>
      <c r="C9" s="7" t="s">
        <v>133</v>
      </c>
      <c r="D9" s="7" t="s">
        <v>73</v>
      </c>
      <c r="E9" s="9">
        <v>20000</v>
      </c>
    </row>
    <row r="10" spans="2:5" x14ac:dyDescent="0.3">
      <c r="B10" s="15">
        <v>5</v>
      </c>
      <c r="C10" s="7" t="s">
        <v>134</v>
      </c>
      <c r="D10" s="7" t="s">
        <v>53</v>
      </c>
      <c r="E10" s="9">
        <v>20000</v>
      </c>
    </row>
    <row r="11" spans="2:5" x14ac:dyDescent="0.3">
      <c r="B11" s="15">
        <v>6</v>
      </c>
      <c r="C11" s="7" t="s">
        <v>134</v>
      </c>
      <c r="D11" s="7" t="s">
        <v>54</v>
      </c>
      <c r="E11" s="9">
        <v>40000</v>
      </c>
    </row>
    <row r="12" spans="2:5" x14ac:dyDescent="0.3">
      <c r="B12" s="15">
        <v>7</v>
      </c>
      <c r="C12" s="7" t="s">
        <v>134</v>
      </c>
      <c r="D12" s="7" t="s">
        <v>55</v>
      </c>
      <c r="E12" s="9">
        <v>100000</v>
      </c>
    </row>
    <row r="13" spans="2:5" x14ac:dyDescent="0.3">
      <c r="B13" s="15">
        <v>8</v>
      </c>
      <c r="C13" s="7" t="s">
        <v>134</v>
      </c>
      <c r="D13" s="7" t="s">
        <v>56</v>
      </c>
      <c r="E13" s="9">
        <v>50000</v>
      </c>
    </row>
    <row r="14" spans="2:5" x14ac:dyDescent="0.3">
      <c r="B14" s="15">
        <v>9</v>
      </c>
      <c r="C14" s="7" t="s">
        <v>134</v>
      </c>
      <c r="D14" s="7" t="s">
        <v>57</v>
      </c>
      <c r="E14" s="9">
        <v>40000</v>
      </c>
    </row>
    <row r="15" spans="2:5" x14ac:dyDescent="0.3">
      <c r="B15" s="15">
        <v>10</v>
      </c>
      <c r="C15" s="7" t="s">
        <v>134</v>
      </c>
      <c r="D15" s="7" t="s">
        <v>58</v>
      </c>
      <c r="E15" s="9">
        <v>50000</v>
      </c>
    </row>
    <row r="16" spans="2:5" x14ac:dyDescent="0.3">
      <c r="B16" s="15">
        <v>11</v>
      </c>
      <c r="C16" s="7" t="s">
        <v>134</v>
      </c>
      <c r="D16" s="7" t="s">
        <v>59</v>
      </c>
      <c r="E16" s="9">
        <v>50000</v>
      </c>
    </row>
    <row r="17" spans="2:5" x14ac:dyDescent="0.3">
      <c r="B17" s="15">
        <v>12</v>
      </c>
      <c r="C17" s="7" t="s">
        <v>134</v>
      </c>
      <c r="D17" s="7" t="s">
        <v>60</v>
      </c>
      <c r="E17" s="9">
        <v>50000</v>
      </c>
    </row>
    <row r="18" spans="2:5" x14ac:dyDescent="0.3">
      <c r="B18" s="15">
        <v>13</v>
      </c>
      <c r="C18" s="7" t="s">
        <v>134</v>
      </c>
      <c r="D18" s="7" t="s">
        <v>61</v>
      </c>
      <c r="E18" s="9">
        <v>150000</v>
      </c>
    </row>
    <row r="19" spans="2:5" x14ac:dyDescent="0.3">
      <c r="B19" s="15">
        <v>14</v>
      </c>
      <c r="C19" s="7" t="s">
        <v>134</v>
      </c>
      <c r="D19" s="7" t="s">
        <v>62</v>
      </c>
      <c r="E19" s="9">
        <v>50000</v>
      </c>
    </row>
    <row r="20" spans="2:5" x14ac:dyDescent="0.3">
      <c r="B20" s="15">
        <v>15</v>
      </c>
      <c r="C20" s="7" t="s">
        <v>134</v>
      </c>
      <c r="D20" s="7" t="s">
        <v>63</v>
      </c>
      <c r="E20" s="9">
        <v>50000</v>
      </c>
    </row>
    <row r="21" spans="2:5" x14ac:dyDescent="0.3">
      <c r="B21" s="15">
        <v>26</v>
      </c>
      <c r="C21" s="7" t="s">
        <v>134</v>
      </c>
      <c r="D21" s="7" t="s">
        <v>74</v>
      </c>
      <c r="E21" s="9">
        <v>5000</v>
      </c>
    </row>
    <row r="22" spans="2:5" x14ac:dyDescent="0.3">
      <c r="B22" s="15">
        <v>16</v>
      </c>
      <c r="C22" s="7" t="s">
        <v>135</v>
      </c>
      <c r="D22" s="7" t="s">
        <v>64</v>
      </c>
      <c r="E22" s="9">
        <v>50000</v>
      </c>
    </row>
    <row r="23" spans="2:5" x14ac:dyDescent="0.3">
      <c r="B23" s="15">
        <v>17</v>
      </c>
      <c r="C23" s="7" t="s">
        <v>135</v>
      </c>
      <c r="D23" s="7" t="s">
        <v>65</v>
      </c>
      <c r="E23" s="9">
        <v>100000</v>
      </c>
    </row>
    <row r="24" spans="2:5" x14ac:dyDescent="0.3">
      <c r="B24" s="15">
        <v>18</v>
      </c>
      <c r="C24" s="7" t="s">
        <v>135</v>
      </c>
      <c r="D24" s="7" t="s">
        <v>66</v>
      </c>
      <c r="E24" s="9">
        <v>150000</v>
      </c>
    </row>
    <row r="25" spans="2:5" x14ac:dyDescent="0.3">
      <c r="B25" s="15">
        <v>19</v>
      </c>
      <c r="C25" s="7" t="s">
        <v>135</v>
      </c>
      <c r="D25" s="7" t="s">
        <v>67</v>
      </c>
      <c r="E25" s="9">
        <v>50000</v>
      </c>
    </row>
    <row r="26" spans="2:5" x14ac:dyDescent="0.3">
      <c r="B26" s="15">
        <v>20</v>
      </c>
      <c r="C26" s="7" t="s">
        <v>135</v>
      </c>
      <c r="D26" s="7" t="s">
        <v>68</v>
      </c>
      <c r="E26" s="9">
        <v>5000</v>
      </c>
    </row>
    <row r="27" spans="2:5" x14ac:dyDescent="0.3">
      <c r="B27" s="15">
        <v>21</v>
      </c>
      <c r="C27" s="7" t="s">
        <v>135</v>
      </c>
      <c r="D27" s="7" t="s">
        <v>69</v>
      </c>
      <c r="E27" s="9">
        <v>5000</v>
      </c>
    </row>
    <row r="28" spans="2:5" x14ac:dyDescent="0.3">
      <c r="B28" s="15">
        <v>22</v>
      </c>
      <c r="C28" s="7" t="s">
        <v>135</v>
      </c>
      <c r="D28" s="7" t="s">
        <v>70</v>
      </c>
      <c r="E28" s="9">
        <v>4000</v>
      </c>
    </row>
    <row r="29" spans="2:5" x14ac:dyDescent="0.3">
      <c r="B29" s="15">
        <v>27</v>
      </c>
      <c r="C29" s="7" t="s">
        <v>135</v>
      </c>
      <c r="D29" s="7" t="s">
        <v>75</v>
      </c>
      <c r="E29" s="9">
        <v>300000</v>
      </c>
    </row>
    <row r="30" spans="2:5" x14ac:dyDescent="0.3">
      <c r="B30" s="15">
        <v>28</v>
      </c>
      <c r="C30" s="7" t="s">
        <v>135</v>
      </c>
      <c r="D30" s="7" t="s">
        <v>76</v>
      </c>
      <c r="E30" s="9">
        <v>300000</v>
      </c>
    </row>
    <row r="31" spans="2:5" x14ac:dyDescent="0.3">
      <c r="B31" s="15">
        <v>29</v>
      </c>
      <c r="C31" s="7" t="s">
        <v>135</v>
      </c>
      <c r="D31" s="7" t="s">
        <v>77</v>
      </c>
      <c r="E31" s="9">
        <v>550000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65349-CBA4-427D-92F3-371E91912104}">
  <dimension ref="A1:E4"/>
  <sheetViews>
    <sheetView tabSelected="1" workbookViewId="0">
      <selection activeCell="M17" sqref="M17"/>
    </sheetView>
  </sheetViews>
  <sheetFormatPr defaultRowHeight="15.6" x14ac:dyDescent="0.3"/>
  <cols>
    <col min="1" max="1" width="10.5" bestFit="1" customWidth="1"/>
    <col min="2" max="3" width="14" bestFit="1" customWidth="1"/>
    <col min="4" max="4" width="23" bestFit="1" customWidth="1"/>
    <col min="5" max="5" width="15" bestFit="1" customWidth="1"/>
  </cols>
  <sheetData>
    <row r="1" spans="1:5" x14ac:dyDescent="0.3">
      <c r="A1" s="21" t="s">
        <v>112</v>
      </c>
      <c r="B1" s="21" t="s">
        <v>121</v>
      </c>
      <c r="C1" s="21" t="s">
        <v>122</v>
      </c>
      <c r="D1" s="21" t="s">
        <v>141</v>
      </c>
      <c r="E1" s="21" t="s">
        <v>124</v>
      </c>
    </row>
    <row r="2" spans="1:5" x14ac:dyDescent="0.3">
      <c r="A2" s="7" t="s">
        <v>117</v>
      </c>
      <c r="B2" s="17">
        <f>Costos!C27</f>
        <v>3927000</v>
      </c>
      <c r="C2" s="22">
        <f>Costos!D27</f>
        <v>1642500</v>
      </c>
      <c r="D2" s="17">
        <f>Costos!E27</f>
        <v>5569500</v>
      </c>
      <c r="E2" s="17">
        <f>Costos!F27</f>
        <v>7000000</v>
      </c>
    </row>
    <row r="3" spans="1:5" x14ac:dyDescent="0.3">
      <c r="A3" s="7" t="s">
        <v>125</v>
      </c>
      <c r="B3" s="17">
        <f>Costos!C28</f>
        <v>2988000</v>
      </c>
      <c r="C3" s="22">
        <f>Costos!D28</f>
        <v>1378500</v>
      </c>
      <c r="D3" s="17">
        <f>Costos!E28</f>
        <v>4366500</v>
      </c>
      <c r="E3" s="17">
        <f>Costos!F28</f>
        <v>9000000</v>
      </c>
    </row>
    <row r="4" spans="1:5" x14ac:dyDescent="0.3">
      <c r="A4" s="7" t="s">
        <v>126</v>
      </c>
      <c r="B4" s="17">
        <f>Costos!C29</f>
        <v>3340000</v>
      </c>
      <c r="C4" s="22">
        <f>Costos!D29</f>
        <v>1665000</v>
      </c>
      <c r="D4" s="17">
        <f>Costos!E29</f>
        <v>5005000</v>
      </c>
      <c r="E4" s="17">
        <f>Costos!F29</f>
        <v>11000000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Transactions</vt:lpstr>
      <vt:lpstr>Products &amp; Materials</vt:lpstr>
      <vt:lpstr>Demand</vt:lpstr>
      <vt:lpstr>Transportation</vt:lpstr>
      <vt:lpstr>Production</vt:lpstr>
      <vt:lpstr>Storage</vt:lpstr>
      <vt:lpstr>Costos</vt:lpstr>
      <vt:lpstr>Costo materia prima</vt:lpstr>
      <vt:lpstr>Costos y Precios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Lara</dc:creator>
  <cp:lastModifiedBy>Victor Lara</cp:lastModifiedBy>
  <dcterms:created xsi:type="dcterms:W3CDTF">2026-10-02T03:38:01Z</dcterms:created>
  <dcterms:modified xsi:type="dcterms:W3CDTF">2026-10-02T03:38:01Z</dcterms:modified>
</cp:coreProperties>
</file>